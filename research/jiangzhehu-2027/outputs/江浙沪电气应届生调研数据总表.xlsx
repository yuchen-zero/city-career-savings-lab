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fa9e2bad049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假设" sheetId="1" r:id="R077e02d3eeb04b37"/>
    <x:sheet xmlns:r="http://schemas.openxmlformats.org/officeDocument/2006/relationships" name="城市净结余" sheetId="2" r:id="R1e2ea23b9dd34a67"/>
    <x:sheet xmlns:r="http://schemas.openxmlformats.org/officeDocument/2006/relationships" name="区级净结余" sheetId="3" r:id="R1bddea3265e94d67"/>
    <x:sheet xmlns:r="http://schemas.openxmlformats.org/officeDocument/2006/relationships" name="电气岗位" sheetId="4" r:id="R4265b8edc4574b82"/>
    <x:sheet xmlns:r="http://schemas.openxmlformats.org/officeDocument/2006/relationships" name="官方统计" sheetId="5" r:id="R7ae190dcf3f4439e"/>
    <x:sheet xmlns:r="http://schemas.openxmlformats.org/officeDocument/2006/relationships" name="数据来源" sheetId="6" r:id="Re0453c35a4df4a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"/>
    <x:numFmt numFmtId="202" formatCode="0.0%"/>
    <x:numFmt numFmtId="203" formatCode="#,##0.0"/>
  </x:numFmts>
  <x:fonts count="4">
    <x:font>
      <x:sz val="11"/>
      <x:name val="Carlito"/>
    </x:font>
    <x:font>
      <x:b/>
      <x:sz val="10"/>
      <x:color rgb="FFFFFFFF"/>
      <x:name val="微软雅黑"/>
    </x:font>
    <x:font>
      <x:sz val="10"/>
      <x:name val="微软雅黑"/>
    </x:font>
    <x:font>
      <x:sz val="9"/>
      <x:name val="微软雅黑"/>
    </x:font>
  </x:fonts>
  <x:fills count="3">
    <x:fill>
      <x:patternFill patternType="none"/>
    </x:fill>
    <x:fill>
      <x:patternFill patternType="gray125"/>
    </x:fill>
    <x:fill>
      <x:patternFill patternType="solid">
        <x:fgColor rgb="FF1F3864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2" fillId="0" borderId="0" xfId="0" applyNumberFormat="1" applyFont="1" applyFill="1" applyBorder="1"/>
    <x:xf numFmtId="203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8bd67979f48c9" /><Relationship Type="http://schemas.openxmlformats.org/officeDocument/2006/relationships/theme" Target="/xl/theme/theme1.xml" Id="Rcf469af59f0d484a" /><Relationship Type="http://schemas.openxmlformats.org/officeDocument/2006/relationships/sharedStrings" Target="/xl/sharedStrings.xml" Id="R6c5234069d5a48b6" /><Relationship Type="http://schemas.openxmlformats.org/officeDocument/2006/relationships/worksheet" Target="/xl/worksheets/sheet1.xml" Id="R077e02d3eeb04b37" /><Relationship Type="http://schemas.openxmlformats.org/officeDocument/2006/relationships/worksheet" Target="/xl/worksheets/sheet2.xml" Id="R1e2ea23b9dd34a67" /><Relationship Type="http://schemas.openxmlformats.org/officeDocument/2006/relationships/worksheet" Target="/xl/worksheets/sheet3.xml" Id="R1bddea3265e94d67" /><Relationship Type="http://schemas.openxmlformats.org/officeDocument/2006/relationships/worksheet" Target="/xl/worksheets/sheet4.xml" Id="R4265b8edc4574b82" /><Relationship Type="http://schemas.openxmlformats.org/officeDocument/2006/relationships/worksheet" Target="/xl/worksheets/sheet5.xml" Id="R7ae190dcf3f4439e" /><Relationship Type="http://schemas.openxmlformats.org/officeDocument/2006/relationships/worksheet" Target="/xl/worksheets/sheet6.xml" Id="Re0453c35a4df4a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C00000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2" hidden="0" customWidth="1"/>
    <x:col min="3" max="3" width="44" hidden="0" customWidth="1"/>
    <x:col min="4" max="4" width="52" hidden="0" customWidth="1"/>
  </x:cols>
  <x:sheetData>
    <x:row r="1" ht="22" customHeight="1">
      <x:c r="A1" s="5" t="str">
        <x:v>参数</x:v>
      </x:c>
      <x:c r="B1" s="5" t="str">
        <x:v>值</x:v>
      </x:c>
      <x:c r="C1" s="5" t="str">
        <x:v>说明</x:v>
      </x:c>
      <x:c r="D1" s="5" t="str">
        <x:v>来源 / 依据</x:v>
      </x:c>
    </x:row>
    <x:row r="2">
      <x:c r="A2" s="10" t="str">
        <x:v>合租等效面积（平方米）</x:v>
      </x:c>
      <x:c r="B2" s="11" t="n">
        <x:v>25.8</x:v>
      </x:c>
      <x:c r="C2" s="10" t="str">
        <x:v>合租单间月租 = 城市租金单价 × 该面积</x:v>
      </x:c>
      <x:c r="D2" s="10" t="str">
        <x:v>由上海、杭州、南京、温州四城实测合租价反推的中位数</x:v>
      </x:c>
    </x:row>
    <x:row r="3">
      <x:c r="A3" s="10" t="str">
        <x:v>整租一居面积（平方米）</x:v>
      </x:c>
      <x:c r="B3" s="11" t="n">
        <x:v>50</x:v>
      </x:c>
      <x:c r="C3" s="10" t="str">
        <x:v>整租一居月租 = 城市租金单价 × 该面积</x:v>
      </x:c>
      <x:c r="D3" s="10" t="str">
        <x:v>一居室建筑面积的市场常规口径</x:v>
      </x:c>
    </x:row>
    <x:row r="4">
      <x:c r="A4" s="10" t="str">
        <x:v>社保个人缴存比例</x:v>
      </x:c>
      <x:c r="B4" s="11" t="n">
        <x:v>0.105</x:v>
      </x:c>
      <x:c r="C4" s="10" t="str">
        <x:v>养老 8% + 医疗 2% + 失业 0.5%</x:v>
      </x:c>
      <x:c r="D4" s="10" t="str">
        <x:v>江浙沪各市基本一致</x:v>
      </x:c>
    </x:row>
    <x:row r="5">
      <x:c r="A5" s="10" t="str">
        <x:v>公积金个人缴存比例</x:v>
      </x:c>
      <x:c r="B5" s="11" t="n">
        <x:v>0.08</x:v>
      </x:c>
      <x:c r="C5" s="10" t="str">
        <x:v>各市区间 5%–12%，取中间值</x:v>
      </x:c>
      <x:c r="D5" s="10" t="str">
        <x:v>不影响含公积金净结余，仅影响现金到手</x:v>
      </x:c>
    </x:row>
    <x:row r="6">
      <x:c r="A6" s="10" t="str">
        <x:v>社保缴费基数下限（元）</x:v>
      </x:c>
      <x:c r="B6" s="11" t="n">
        <x:v>4900</x:v>
      </x:c>
      <x:c r="C6" s="10" t="str">
        <x:v>月薪低于此值按下限计缴</x:v>
      </x:c>
      <x:c r="D6" s="10" t="str">
        <x:v>各市 4500–5500 之间</x:v>
      </x:c>
    </x:row>
    <x:row r="7">
      <x:c r="A7" s="10" t="str">
        <x:v>个税起征点（元/月）</x:v>
      </x:c>
      <x:c r="B7" s="11" t="n">
        <x:v>5000</x:v>
      </x:c>
      <x:c r="C7" s="10" t="str">
        <x:v>经营所得以外综合所得</x:v>
      </x:c>
      <x:c r="D7" s="10" t="str">
        <x:v>个人所得税法</x:v>
      </x:c>
    </x:row>
    <x:row r="8">
      <x:c r="A8" s="10" t="str">
        <x:v>工作天数（天/月）</x:v>
      </x:c>
      <x:c r="B8" s="11" t="n">
        <x:v>22</x:v>
      </x:c>
      <x:c r="C8" s="10" t="str">
        <x:v>用于通勤计算</x:v>
      </x:c>
      <x:c r="D8" s="10" t="str">
        <x:v>法定月均计薪天数 21.75，取整</x:v>
      </x:c>
    </x:row>
    <x:row r="9">
      <x:c r="A9" s="10" t="str">
        <x:v>地铁单程票价（元）</x:v>
      </x:c>
      <x:c r="B9" s="11" t="n">
        <x:v>3.5</x:v>
      </x:c>
      <x:c r="C9" s="10" t="str">
        <x:v>无区级票价的城市的默认值</x:v>
      </x:c>
      <x:c r="D9" s="10" t="str">
        <x:v>各市公开计价规则</x:v>
      </x:c>
    </x:row>
    <x:row r="10">
      <x:c r="A10" s="10" t="str">
        <x:v>公交单程票价（元）</x:v>
      </x:c>
      <x:c r="B10" s="11" t="n">
        <x:v>2</x:v>
      </x:c>
      <x:c r="C10" s="10" t="str">
        <x:v>无轨道交通城市的默认值</x:v>
      </x:c>
      <x:c r="D10" s="10" t="str">
        <x:v>各市公开票价</x:v>
      </x:c>
    </x:row>
    <x:row r="11">
      <x:c r="A11" s="10" t="str">
        <x:v>餐饮单身青年系数</x:v>
      </x:c>
      <x:c r="B11" s="11" t="n">
        <x:v>1.25</x:v>
      </x:c>
      <x:c r="C11" s="10" t="str">
        <x:v>在全体居民食品烟酒支出基础上的上浮</x:v>
      </x:c>
      <x:c r="D11" s="10" t="str">
        <x:v>单身青年在外饮食比例高于全体居民</x:v>
      </x:c>
    </x:row>
    <x:row r="12">
      <x:c r="A12" s="10" t="str">
        <x:v>报告截止日期</x:v>
      </x:c>
      <x:c r="B12" s="11" t="str">
        <x:v>2026-09-15</x:v>
      </x:c>
      <x:c r="C12" s="10" t="str">
        <x:v>全部数据的采集时点</x:v>
      </x:c>
      <x:c r="D12" s="10" t="str">
        <x:v>—</x:v>
      </x:c>
    </x:row>
    <x:row r="13">
      <x:c r="A13" s="10" t="str">
        <x:v>中介费（月房租倍数）</x:v>
      </x:c>
      <x:c r="B13" s="11" t="n">
        <x:v>1</x:v>
      </x:c>
      <x:c r="C13" s="10" t="str">
        <x:v>通过中介租普通房源时一次性支付，通常为 1 个月房租</x:v>
      </x:c>
      <x:c r="D13" s="10" t="str">
        <x:v>行业惯例，部分城市为 0.5 个月</x:v>
      </x:c>
    </x:row>
    <x:row r="14">
      <x:c r="A14" s="10" t="str">
        <x:v>中介费摊销月数</x:v>
      </x:c>
      <x:c r="B14" s="11" t="n">
        <x:v>12</x:v>
      </x:c>
      <x:c r="C14" s="10" t="str">
        <x:v>把一次性中介费摊到租期上，按月计入成本</x:v>
      </x:c>
      <x:c r="D14" s="10" t="str">
        <x:v>按一年租期摊薄</x:v>
      </x:c>
    </x:row>
    <x:row r="15">
      <x:c r="A15" s="10" t="str">
        <x:v>品牌公寓服务费率</x:v>
      </x:c>
      <x:c r="B15" s="11" t="n">
        <x:v>0.1</x:v>
      </x:c>
      <x:c r="C15" s="10" t="str">
        <x:v>自如等品牌公寓按月收取的服务费占房租比例</x:v>
      </x:c>
      <x:c r="D15" s="10" t="str">
        <x:v>公开报价区间 8%–12%</x:v>
      </x:c>
    </x:row>
    <x:row r="16">
      <x:c r="A16" s="10" t="str">
        <x:v>押付首期月数</x:v>
      </x:c>
      <x:c r="B16" s="11" t="n">
        <x:v>4</x:v>
      </x:c>
      <x:c r="C16" s="10" t="str">
        <x:v>押一付三时首期需支付 1 个月押金加 3 个月房租</x:v>
      </x:c>
      <x:c r="D16" s="10" t="str">
        <x:v>市场最常见付法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1" hidden="0" customWidth="1"/>
    <x:col min="3" max="3" width="10" hidden="0" customWidth="1"/>
    <x:col min="4" max="4" width="10" hidden="0" customWidth="1"/>
    <x:col min="5" max="5" width="9" hidden="0" customWidth="1"/>
    <x:col min="6" max="6" width="11" hidden="0" customWidth="1"/>
    <x:col min="7" max="7" width="15" hidden="0" customWidth="1"/>
    <x:col min="8" max="8" width="11" hidden="0" customWidth="1"/>
    <x:col min="9" max="9" width="13" hidden="0" customWidth="1"/>
    <x:col min="10" max="10" width="9" hidden="0" customWidth="1"/>
    <x:col min="11" max="11" width="10" hidden="0" customWidth="1"/>
    <x:col min="12" max="12" width="14" hidden="0" customWidth="1"/>
    <x:col min="13" max="13" width="14" hidden="0" customWidth="1"/>
    <x:col min="14" max="14" width="12" hidden="0" customWidth="1"/>
    <x:col min="15" max="15" width="14" hidden="0" customWidth="1"/>
    <x:col min="16" max="16" width="16" hidden="0" customWidth="1"/>
    <x:col min="17" max="17" width="16" hidden="0" customWidth="1"/>
    <x:col min="18" max="18" width="18" hidden="0" customWidth="1"/>
    <x:col min="19" max="19" width="16" hidden="0" customWidth="1"/>
    <x:col min="20" max="20" width="17" hidden="0" customWidth="1"/>
    <x:col min="21" max="21" width="14" hidden="0" customWidth="1"/>
    <x:col min="22" max="22" width="14" hidden="0" customWidth="1"/>
    <x:col min="23" max="23" width="11" hidden="0" customWidth="1"/>
    <x:col min="24" max="24" width="11" hidden="0" customWidth="1"/>
  </x:cols>
  <x:sheetData>
    <x:row r="1" ht="34" customHeight="1">
      <x:c r="A1" s="5" t="str">
        <x:v>城市</x:v>
      </x:c>
      <x:c r="B1" s="5" t="str">
        <x:v>税前月薪</x:v>
      </x:c>
      <x:c r="C1" s="5" t="str">
        <x:v>社保</x:v>
      </x:c>
      <x:c r="D1" s="5" t="str">
        <x:v>公积金</x:v>
      </x:c>
      <x:c r="E1" s="5" t="str">
        <x:v>个税</x:v>
      </x:c>
      <x:c r="F1" s="5" t="str">
        <x:v>现金到手</x:v>
      </x:c>
      <x:c r="G1" s="5" t="str">
        <x:v>租金单价（元/㎡/月）</x:v>
      </x:c>
      <x:c r="H1" s="5" t="str">
        <x:v>合租月租</x:v>
      </x:c>
      <x:c r="I1" s="5" t="str">
        <x:v>整租一居月租</x:v>
      </x:c>
      <x:c r="J1" s="5" t="str">
        <x:v>通勤</x:v>
      </x:c>
      <x:c r="K1" s="5" t="str">
        <x:v>餐饮</x:v>
      </x:c>
      <x:c r="L1" s="5" t="str">
        <x:v>水电气宽带（合租）</x:v>
      </x:c>
      <x:c r="M1" s="5" t="str">
        <x:v>水电气宽带（整租）</x:v>
      </x:c>
      <x:c r="N1" s="5" t="str">
        <x:v>中介费摊销</x:v>
      </x:c>
      <x:c r="O1" s="5" t="str">
        <x:v>品牌公寓服务费</x:v>
      </x:c>
      <x:c r="P1" s="5" t="str">
        <x:v>净结余（合租·直租）</x:v>
      </x:c>
      <x:c r="Q1" s="5" t="str">
        <x:v>净结余（合租·中介）</x:v>
      </x:c>
      <x:c r="R1" s="5" t="str">
        <x:v>净结余（合租·品牌公寓）</x:v>
      </x:c>
      <x:c r="S1" s="5" t="str">
        <x:v>净结余（整租·直租）</x:v>
      </x:c>
      <x:c r="T1" s="5" t="str">
        <x:v>首月现金（合租·中介）</x:v>
      </x:c>
      <x:c r="U1" s="5" t="str">
        <x:v>房租占收入（合租）</x:v>
      </x:c>
      <x:c r="V1" s="5" t="str">
        <x:v>房租占收入（整租）</x:v>
      </x:c>
      <x:c r="W1" s="5" t="str">
        <x:v>全国租金排名</x:v>
      </x:c>
      <x:c r="X1" s="5" t="str">
        <x:v>合租实测值</x:v>
      </x:c>
    </x:row>
    <x:row r="2">
      <x:c r="A2" s="16" t="str">
        <x:v>上海</x:v>
      </x:c>
      <x:c r="B2" s="17" t="n">
        <x:v>10000</x:v>
      </x:c>
      <x:c r="C2" s="17" t="n">
        <x:f>MAX(B2,'假设'!$B$6)*'假设'!$B$4</x:f>
        <x:v>1050</x:v>
      </x:c>
      <x:c r="D2" s="17" t="n">
        <x:f>MAX(B2,'假设'!$B$6)*'假设'!$B$5</x:f>
        <x:v>800</x:v>
      </x:c>
      <x:c r="E2" s="17" t="n">
        <x:f>LET(t,MAX(0,B2-C2-D2-'假设'!$B$7),IF(t&lt;=3000,t*0.03,IF(t&lt;=12000,t*0.1-210,IF(t&lt;=25000,t*0.2-1410,IF(t&lt;=35000,t*0.25-2660,IF(t&lt;=55000,t*0.3-4410,t*0.35-7160))))))</x:f>
        <x:v>105</x:v>
      </x:c>
      <x:c r="F2" s="17" t="n">
        <x:f>B2-C2-D2-E2</x:f>
        <x:v>8045</x:v>
      </x:c>
      <x:c r="G2" s="17" t="n">
        <x:v>95.52</x:v>
      </x:c>
      <x:c r="H2" s="17" t="n">
        <x:f>IF(X2&gt;0,X2,G2*'假设'!$B$2)</x:f>
        <x:v>2335</x:v>
      </x:c>
      <x:c r="I2" s="17" t="n">
        <x:f>G2*'假设'!$B$3</x:f>
        <x:v>4776</x:v>
      </x:c>
      <x:c r="J2" s="17" t="n">
        <x:v>176</x:v>
      </x:c>
      <x:c r="K2" s="17" t="n">
        <x:v>1605</x:v>
      </x:c>
      <x:c r="L2" s="17" t="n">
        <x:v>128</x:v>
      </x:c>
      <x:c r="M2" s="17" t="n">
        <x:v>197</x:v>
      </x:c>
      <x:c r="N2" s="17" t="n">
        <x:f>H2*'假设'!$B$13/'假设'!$B$14</x:f>
        <x:v>194.58333333333334</x:v>
      </x:c>
      <x:c r="O2" s="17" t="n">
        <x:f>H2*'假设'!$B$15</x:f>
        <x:v>233.5</x:v>
      </x:c>
      <x:c r="P2" s="17" t="n">
        <x:f>F2-H2-J2-K2-L2</x:f>
        <x:v>3801</x:v>
      </x:c>
      <x:c r="Q2" s="17" t="n">
        <x:f>P2-N2</x:f>
        <x:v>3606.4166666666665</x:v>
      </x:c>
      <x:c r="R2" s="17" t="n">
        <x:f>P2-O2</x:f>
        <x:v>3567.5</x:v>
      </x:c>
      <x:c r="S2" s="17" t="n">
        <x:f>F2-I2-J2-K2-M2</x:f>
        <x:v>1291</x:v>
      </x:c>
      <x:c r="T2" s="17" t="n">
        <x:f>(H2+N2)*'假设'!$B$16</x:f>
        <x:v>10118.333333333334</x:v>
      </x:c>
      <x:c r="U2" s="18" t="n">
        <x:f>H2/B2</x:f>
        <x:v>0.2335</x:v>
      </x:c>
      <x:c r="V2" s="18" t="n">
        <x:f>I2/B2</x:f>
        <x:v>0.4776</x:v>
      </x:c>
      <x:c r="W2" s="16" t="n">
        <x:v>2</x:v>
      </x:c>
      <x:c r="X2" s="16" t="n">
        <x:v>2335</x:v>
      </x:c>
    </x:row>
    <x:row r="3">
      <x:c r="A3" s="16" t="str">
        <x:v>苏州</x:v>
      </x:c>
      <x:c r="B3" s="17" t="n">
        <x:v>8000</x:v>
      </x:c>
      <x:c r="C3" s="17" t="n">
        <x:f>MAX(B3,'假设'!$B$6)*'假设'!$B$4</x:f>
        <x:v>840</x:v>
      </x:c>
      <x:c r="D3" s="17" t="n">
        <x:f>MAX(B3,'假设'!$B$6)*'假设'!$B$5</x:f>
        <x:v>640</x:v>
      </x:c>
      <x:c r="E3" s="17" t="n">
        <x:f>LET(t,MAX(0,B3-C3-D3-'假设'!$B$7),IF(t&lt;=3000,t*0.03,IF(t&lt;=12000,t*0.1-210,IF(t&lt;=25000,t*0.2-1410,IF(t&lt;=35000,t*0.25-2660,IF(t&lt;=55000,t*0.3-4410,t*0.35-7160))))))</x:f>
        <x:v>45.6</x:v>
      </x:c>
      <x:c r="F3" s="17" t="n">
        <x:f>B3-C3-D3-E3</x:f>
        <x:v>6474.4</x:v>
      </x:c>
      <x:c r="G3" s="17" t="n">
        <x:v>31.39</x:v>
      </x:c>
      <x:c r="H3" s="17" t="n">
        <x:f>IF(X3&gt;0,X3,G3*'假设'!$B$2)</x:f>
        <x:v>809.8620000000001</x:v>
      </x:c>
      <x:c r="I3" s="17" t="n">
        <x:f>G3*'假设'!$B$3</x:f>
        <x:v>1569.5</x:v>
      </x:c>
      <x:c r="J3" s="17" t="n">
        <x:v>132</x:v>
      </x:c>
      <x:c r="K3" s="17" t="n">
        <x:v>1552</x:v>
      </x:c>
      <x:c r="L3" s="17" t="n">
        <x:v>115</x:v>
      </x:c>
      <x:c r="M3" s="17" t="n">
        <x:v>177</x:v>
      </x:c>
      <x:c r="N3" s="17" t="n">
        <x:f>H3*'假设'!$B$13/'假设'!$B$14</x:f>
        <x:v>67.4885</x:v>
      </x:c>
      <x:c r="O3" s="17" t="n">
        <x:f>H3*'假设'!$B$15</x:f>
        <x:v>80.98620000000001</x:v>
      </x:c>
      <x:c r="P3" s="17" t="n">
        <x:f>F3-H3-J3-K3-L3</x:f>
        <x:v>3865.5379999999996</x:v>
      </x:c>
      <x:c r="Q3" s="17" t="n">
        <x:f>P3-N3</x:f>
        <x:v>3798.0494999999996</x:v>
      </x:c>
      <x:c r="R3" s="17" t="n">
        <x:f>P3-O3</x:f>
        <x:v>3784.5517999999997</x:v>
      </x:c>
      <x:c r="S3" s="17" t="n">
        <x:f>F3-I3-J3-K3-M3</x:f>
        <x:v>3043.8999999999996</x:v>
      </x:c>
      <x:c r="T3" s="17" t="n">
        <x:f>(H3+N3)*'假设'!$B$16</x:f>
        <x:v>3509.4020000000005</x:v>
      </x:c>
      <x:c r="U3" s="18" t="n">
        <x:f>H3/B3</x:f>
        <x:v>0.10123275000000001</x:v>
      </x:c>
      <x:c r="V3" s="18" t="n">
        <x:f>I3/B3</x:f>
        <x:v>0.1961875</x:v>
      </x:c>
      <x:c r="W3" s="16" t="n">
        <x:v>17</x:v>
      </x:c>
      <x:c r="X3" s="16"/>
    </x:row>
    <x:row r="4">
      <x:c r="A4" s="16" t="str">
        <x:v>南京</x:v>
      </x:c>
      <x:c r="B4" s="17" t="n">
        <x:v>8000</x:v>
      </x:c>
      <x:c r="C4" s="17" t="n">
        <x:f>MAX(B4,'假设'!$B$6)*'假设'!$B$4</x:f>
        <x:v>840</x:v>
      </x:c>
      <x:c r="D4" s="17" t="n">
        <x:f>MAX(B4,'假设'!$B$6)*'假设'!$B$5</x:f>
        <x:v>640</x:v>
      </x:c>
      <x:c r="E4" s="17" t="n">
        <x:f>LET(t,MAX(0,B4-C4-D4-'假设'!$B$7),IF(t&lt;=3000,t*0.03,IF(t&lt;=12000,t*0.1-210,IF(t&lt;=25000,t*0.2-1410,IF(t&lt;=35000,t*0.25-2660,IF(t&lt;=55000,t*0.3-4410,t*0.35-7160))))))</x:f>
        <x:v>45.6</x:v>
      </x:c>
      <x:c r="F4" s="17" t="n">
        <x:f>B4-C4-D4-E4</x:f>
        <x:v>6474.4</x:v>
      </x:c>
      <x:c r="G4" s="17" t="n">
        <x:v>45.36</x:v>
      </x:c>
      <x:c r="H4" s="17" t="n">
        <x:f>IF(X4&gt;0,X4,G4*'假设'!$B$2)</x:f>
        <x:v>1073</x:v>
      </x:c>
      <x:c r="I4" s="17" t="n">
        <x:f>G4*'假设'!$B$3</x:f>
        <x:v>2268</x:v>
      </x:c>
      <x:c r="J4" s="17" t="n">
        <x:v>132</x:v>
      </x:c>
      <x:c r="K4" s="17" t="n">
        <x:v>1505</x:v>
      </x:c>
      <x:c r="L4" s="17" t="n">
        <x:v>115</x:v>
      </x:c>
      <x:c r="M4" s="17" t="n">
        <x:v>177</x:v>
      </x:c>
      <x:c r="N4" s="17" t="n">
        <x:f>H4*'假设'!$B$13/'假设'!$B$14</x:f>
        <x:v>89.41666666666667</x:v>
      </x:c>
      <x:c r="O4" s="17" t="n">
        <x:f>H4*'假设'!$B$15</x:f>
        <x:v>107.30000000000001</x:v>
      </x:c>
      <x:c r="P4" s="17" t="n">
        <x:f>F4-H4-J4-K4-L4</x:f>
        <x:v>3649.3999999999996</x:v>
      </x:c>
      <x:c r="Q4" s="17" t="n">
        <x:f>P4-N4</x:f>
        <x:v>3559.983333333333</x:v>
      </x:c>
      <x:c r="R4" s="17" t="n">
        <x:f>P4-O4</x:f>
        <x:v>3542.0999999999995</x:v>
      </x:c>
      <x:c r="S4" s="17" t="n">
        <x:f>F4-I4-J4-K4-M4</x:f>
        <x:v>2392.3999999999996</x:v>
      </x:c>
      <x:c r="T4" s="17" t="n">
        <x:f>(H4+N4)*'假设'!$B$16</x:f>
        <x:v>4649.666666666667</x:v>
      </x:c>
      <x:c r="U4" s="18" t="n">
        <x:f>H4/B4</x:f>
        <x:v>0.134125</x:v>
      </x:c>
      <x:c r="V4" s="18" t="n">
        <x:f>I4/B4</x:f>
        <x:v>0.2835</x:v>
      </x:c>
      <x:c r="W4" s="16" t="n">
        <x:v>6</x:v>
      </x:c>
      <x:c r="X4" s="16" t="n">
        <x:v>1073</x:v>
      </x:c>
    </x:row>
    <x:row r="5">
      <x:c r="A5" s="16" t="str">
        <x:v>常州</x:v>
      </x:c>
      <x:c r="B5" s="17" t="n">
        <x:v>7000</x:v>
      </x:c>
      <x:c r="C5" s="17" t="n">
        <x:f>MAX(B5,'假设'!$B$6)*'假设'!$B$4</x:f>
        <x:v>735</x:v>
      </x:c>
      <x:c r="D5" s="17" t="n">
        <x:f>MAX(B5,'假设'!$B$6)*'假设'!$B$5</x:f>
        <x:v>560</x:v>
      </x:c>
      <x:c r="E5" s="17" t="n">
        <x:f>LET(t,MAX(0,B5-C5-D5-'假设'!$B$7),IF(t&lt;=3000,t*0.03,IF(t&lt;=12000,t*0.1-210,IF(t&lt;=25000,t*0.2-1410,IF(t&lt;=35000,t*0.25-2660,IF(t&lt;=55000,t*0.3-4410,t*0.35-7160))))))</x:f>
        <x:v>21.15</x:v>
      </x:c>
      <x:c r="F5" s="17" t="n">
        <x:f>B5-C5-D5-E5</x:f>
        <x:v>5683.85</x:v>
      </x:c>
      <x:c r="G5" s="17" t="n">
        <x:v>22.6</x:v>
      </x:c>
      <x:c r="H5" s="17" t="n">
        <x:f>IF(X5&gt;0,X5,G5*'假设'!$B$2)</x:f>
        <x:v>583.08</x:v>
      </x:c>
      <x:c r="I5" s="17" t="n">
        <x:f>G5*'假设'!$B$3</x:f>
        <x:v>1130</x:v>
      </x:c>
      <x:c r="J5" s="17" t="n">
        <x:v>132</x:v>
      </x:c>
      <x:c r="K5" s="17" t="n">
        <x:v>1185</x:v>
      </x:c>
      <x:c r="L5" s="17" t="n">
        <x:v>115</x:v>
      </x:c>
      <x:c r="M5" s="17" t="n">
        <x:v>177</x:v>
      </x:c>
      <x:c r="N5" s="17" t="n">
        <x:f>H5*'假设'!$B$13/'假设'!$B$14</x:f>
        <x:v>48.59</x:v>
      </x:c>
      <x:c r="O5" s="17" t="n">
        <x:f>H5*'假设'!$B$15</x:f>
        <x:v>58.30800000000001</x:v>
      </x:c>
      <x:c r="P5" s="17" t="n">
        <x:f>F5-H5-J5-K5-L5</x:f>
        <x:v>3668.7700000000004</x:v>
      </x:c>
      <x:c r="Q5" s="17" t="n">
        <x:f>P5-N5</x:f>
        <x:v>3620.1800000000003</x:v>
      </x:c>
      <x:c r="R5" s="17" t="n">
        <x:f>P5-O5</x:f>
        <x:v>3610.4620000000004</x:v>
      </x:c>
      <x:c r="S5" s="17" t="n">
        <x:f>F5-I5-J5-K5-M5</x:f>
        <x:v>3059.8500000000004</x:v>
      </x:c>
      <x:c r="T5" s="17" t="n">
        <x:f>(H5+N5)*'假设'!$B$16</x:f>
        <x:v>2526.6800000000003</x:v>
      </x:c>
      <x:c r="U5" s="18" t="n">
        <x:f>H5/B5</x:f>
        <x:v>0.08329714285714286</x:v>
      </x:c>
      <x:c r="V5" s="18" t="n">
        <x:f>I5/B5</x:f>
        <x:v>0.16142857142857142</x:v>
      </x:c>
      <x:c r="W5" s="16" t="n">
        <x:v>47</x:v>
      </x:c>
      <x:c r="X5" s="16"/>
    </x:row>
    <x:row r="6">
      <x:c r="A6" s="16" t="str">
        <x:v>连云港</x:v>
      </x:c>
      <x:c r="B6" s="17" t="n">
        <x:v>6000</x:v>
      </x:c>
      <x:c r="C6" s="17" t="n">
        <x:f>MAX(B6,'假设'!$B$6)*'假设'!$B$4</x:f>
        <x:v>630</x:v>
      </x:c>
      <x:c r="D6" s="17" t="n">
        <x:f>MAX(B6,'假设'!$B$6)*'假设'!$B$5</x:f>
        <x:v>480</x:v>
      </x:c>
      <x:c r="E6" s="17" t="n">
        <x:f>LET(t,MAX(0,B6-C6-D6-'假设'!$B$7),IF(t&lt;=3000,t*0.03,IF(t&lt;=12000,t*0.1-210,IF(t&lt;=25000,t*0.2-1410,IF(t&lt;=35000,t*0.25-2660,IF(t&lt;=55000,t*0.3-4410,t*0.35-7160))))))</x:f>
        <x:v>0</x:v>
      </x:c>
      <x:c r="F6" s="17" t="n">
        <x:f>B6-C6-D6-E6</x:f>
        <x:v>4890</x:v>
      </x:c>
      <x:c r="G6" s="17" t="n">
        <x:v>17.1</x:v>
      </x:c>
      <x:c r="H6" s="17" t="n">
        <x:f>IF(X6&gt;0,X6,G6*'假设'!$B$2)</x:f>
        <x:v>441.18000000000006</x:v>
      </x:c>
      <x:c r="I6" s="17" t="n">
        <x:f>G6*'假设'!$B$3</x:f>
        <x:v>855.0000000000001</x:v>
      </x:c>
      <x:c r="J6" s="17" t="n">
        <x:v>88</x:v>
      </x:c>
      <x:c r="K6" s="17" t="n">
        <x:v>762</x:v>
      </x:c>
      <x:c r="L6" s="17" t="n">
        <x:v>115</x:v>
      </x:c>
      <x:c r="M6" s="17" t="n">
        <x:v>177</x:v>
      </x:c>
      <x:c r="N6" s="17" t="n">
        <x:f>H6*'假设'!$B$13/'假设'!$B$14</x:f>
        <x:v>36.76500000000001</x:v>
      </x:c>
      <x:c r="O6" s="17" t="n">
        <x:f>H6*'假设'!$B$15</x:f>
        <x:v>44.11800000000001</x:v>
      </x:c>
      <x:c r="P6" s="17" t="n">
        <x:f>F6-H6-J6-K6-L6</x:f>
        <x:v>3483.8199999999997</x:v>
      </x:c>
      <x:c r="Q6" s="17" t="n">
        <x:f>P6-N6</x:f>
        <x:v>3447.055</x:v>
      </x:c>
      <x:c r="R6" s="17" t="n">
        <x:f>P6-O6</x:f>
        <x:v>3439.7019999999998</x:v>
      </x:c>
      <x:c r="S6" s="17" t="n">
        <x:f>F6-I6-J6-K6-M6</x:f>
        <x:v>3008</x:v>
      </x:c>
      <x:c r="T6" s="17" t="n">
        <x:f>(H6+N6)*'假设'!$B$16</x:f>
        <x:v>1911.7800000000002</x:v>
      </x:c>
      <x:c r="U6" s="18" t="n">
        <x:f>H6/B6</x:f>
        <x:v>0.07353000000000001</x:v>
      </x:c>
      <x:c r="V6" s="18" t="n">
        <x:f>I6/B6</x:f>
        <x:v>0.14250000000000002</x:v>
      </x:c>
      <x:c r="W6" s="16" t="n">
        <x:v>131</x:v>
      </x:c>
      <x:c r="X6" s="16"/>
    </x:row>
    <x:row r="7">
      <x:c r="A7" s="16" t="str">
        <x:v>盐城</x:v>
      </x:c>
      <x:c r="B7" s="17" t="n">
        <x:v>6000</x:v>
      </x:c>
      <x:c r="C7" s="17" t="n">
        <x:f>MAX(B7,'假设'!$B$6)*'假设'!$B$4</x:f>
        <x:v>630</x:v>
      </x:c>
      <x:c r="D7" s="17" t="n">
        <x:f>MAX(B7,'假设'!$B$6)*'假设'!$B$5</x:f>
        <x:v>480</x:v>
      </x:c>
      <x:c r="E7" s="17" t="n">
        <x:f>LET(t,MAX(0,B7-C7-D7-'假设'!$B$7),IF(t&lt;=3000,t*0.03,IF(t&lt;=12000,t*0.1-210,IF(t&lt;=25000,t*0.2-1410,IF(t&lt;=35000,t*0.25-2660,IF(t&lt;=55000,t*0.3-4410,t*0.35-7160))))))</x:f>
        <x:v>0</x:v>
      </x:c>
      <x:c r="F7" s="17" t="n">
        <x:f>B7-C7-D7-E7</x:f>
        <x:v>4890</x:v>
      </x:c>
      <x:c r="G7" s="17" t="n">
        <x:v>16.47</x:v>
      </x:c>
      <x:c r="H7" s="17" t="n">
        <x:f>IF(X7&gt;0,X7,G7*'假设'!$B$2)</x:f>
        <x:v>424.926</x:v>
      </x:c>
      <x:c r="I7" s="17" t="n">
        <x:f>G7*'假设'!$B$3</x:f>
        <x:v>823.5</x:v>
      </x:c>
      <x:c r="J7" s="17" t="n">
        <x:v>88</x:v>
      </x:c>
      <x:c r="K7" s="17" t="n">
        <x:v>815</x:v>
      </x:c>
      <x:c r="L7" s="17" t="n">
        <x:v>115</x:v>
      </x:c>
      <x:c r="M7" s="17" t="n">
        <x:v>177</x:v>
      </x:c>
      <x:c r="N7" s="17" t="n">
        <x:f>H7*'假设'!$B$13/'假设'!$B$14</x:f>
        <x:v>35.4105</x:v>
      </x:c>
      <x:c r="O7" s="17" t="n">
        <x:f>H7*'假设'!$B$15</x:f>
        <x:v>42.4926</x:v>
      </x:c>
      <x:c r="P7" s="17" t="n">
        <x:f>F7-H7-J7-K7-L7</x:f>
        <x:v>3447.0739999999996</x:v>
      </x:c>
      <x:c r="Q7" s="17" t="n">
        <x:f>P7-N7</x:f>
        <x:v>3411.6634999999997</x:v>
      </x:c>
      <x:c r="R7" s="17" t="n">
        <x:f>P7-O7</x:f>
        <x:v>3404.5813999999996</x:v>
      </x:c>
      <x:c r="S7" s="17" t="n">
        <x:f>F7-I7-J7-K7-M7</x:f>
        <x:v>2986.5</x:v>
      </x:c>
      <x:c r="T7" s="17" t="n">
        <x:f>(H7+N7)*'假设'!$B$16</x:f>
        <x:v>1841.346</x:v>
      </x:c>
      <x:c r="U7" s="18" t="n">
        <x:f>H7/B7</x:f>
        <x:v>0.070821</x:v>
      </x:c>
      <x:c r="V7" s="18" t="n">
        <x:f>I7/B7</x:f>
        <x:v>0.13725</x:v>
      </x:c>
      <x:c r="W7" s="16" t="n">
        <x:v>144</x:v>
      </x:c>
      <x:c r="X7" s="16"/>
    </x:row>
    <x:row r="8">
      <x:c r="A8" s="16" t="str">
        <x:v>徐州</x:v>
      </x:c>
      <x:c r="B8" s="17" t="n">
        <x:v>6000</x:v>
      </x:c>
      <x:c r="C8" s="17" t="n">
        <x:f>MAX(B8,'假设'!$B$6)*'假设'!$B$4</x:f>
        <x:v>630</x:v>
      </x:c>
      <x:c r="D8" s="17" t="n">
        <x:f>MAX(B8,'假设'!$B$6)*'假设'!$B$5</x:f>
        <x:v>480</x:v>
      </x:c>
      <x:c r="E8" s="17" t="n">
        <x:f>LET(t,MAX(0,B8-C8-D8-'假设'!$B$7),IF(t&lt;=3000,t*0.03,IF(t&lt;=12000,t*0.1-210,IF(t&lt;=25000,t*0.2-1410,IF(t&lt;=35000,t*0.25-2660,IF(t&lt;=55000,t*0.3-4410,t*0.35-7160))))))</x:f>
        <x:v>0</x:v>
      </x:c>
      <x:c r="F8" s="17" t="n">
        <x:f>B8-C8-D8-E8</x:f>
        <x:v>4890</x:v>
      </x:c>
      <x:c r="G8" s="17" t="n">
        <x:v>15.59</x:v>
      </x:c>
      <x:c r="H8" s="17" t="n">
        <x:f>IF(X8&gt;0,X8,G8*'假设'!$B$2)</x:f>
        <x:v>402.222</x:v>
      </x:c>
      <x:c r="I8" s="17" t="n">
        <x:f>G8*'假设'!$B$3</x:f>
        <x:v>779.5</x:v>
      </x:c>
      <x:c r="J8" s="17" t="n">
        <x:v>132</x:v>
      </x:c>
      <x:c r="K8" s="17" t="n">
        <x:v>796</x:v>
      </x:c>
      <x:c r="L8" s="17" t="n">
        <x:v>115</x:v>
      </x:c>
      <x:c r="M8" s="17" t="n">
        <x:v>177</x:v>
      </x:c>
      <x:c r="N8" s="17" t="n">
        <x:f>H8*'假设'!$B$13/'假设'!$B$14</x:f>
        <x:v>33.518499999999996</x:v>
      </x:c>
      <x:c r="O8" s="17" t="n">
        <x:f>H8*'假设'!$B$15</x:f>
        <x:v>40.2222</x:v>
      </x:c>
      <x:c r="P8" s="17" t="n">
        <x:f>F8-H8-J8-K8-L8</x:f>
        <x:v>3444.7780000000002</x:v>
      </x:c>
      <x:c r="Q8" s="17" t="n">
        <x:f>P8-N8</x:f>
        <x:v>3411.2595</x:v>
      </x:c>
      <x:c r="R8" s="17" t="n">
        <x:f>P8-O8</x:f>
        <x:v>3404.5558</x:v>
      </x:c>
      <x:c r="S8" s="17" t="n">
        <x:f>F8-I8-J8-K8-M8</x:f>
        <x:v>3005.5</x:v>
      </x:c>
      <x:c r="T8" s="17" t="n">
        <x:f>(H8+N8)*'假设'!$B$16</x:f>
        <x:v>1742.962</x:v>
      </x:c>
      <x:c r="U8" s="18" t="n">
        <x:f>H8/B8</x:f>
        <x:v>0.067037</x:v>
      </x:c>
      <x:c r="V8" s="18" t="n">
        <x:f>I8/B8</x:f>
        <x:v>0.12991666666666668</x:v>
      </x:c>
      <x:c r="W8" s="16" t="n">
        <x:v>172</x:v>
      </x:c>
      <x:c r="X8" s="16"/>
    </x:row>
    <x:row r="9">
      <x:c r="A9" s="16" t="str">
        <x:v>绍兴</x:v>
      </x:c>
      <x:c r="B9" s="17" t="n">
        <x:v>7000</x:v>
      </x:c>
      <x:c r="C9" s="17" t="n">
        <x:f>MAX(B9,'假设'!$B$6)*'假设'!$B$4</x:f>
        <x:v>735</x:v>
      </x:c>
      <x:c r="D9" s="17" t="n">
        <x:f>MAX(B9,'假设'!$B$6)*'假设'!$B$5</x:f>
        <x:v>560</x:v>
      </x:c>
      <x:c r="E9" s="17" t="n">
        <x:f>LET(t,MAX(0,B9-C9-D9-'假设'!$B$7),IF(t&lt;=3000,t*0.03,IF(t&lt;=12000,t*0.1-210,IF(t&lt;=25000,t*0.2-1410,IF(t&lt;=35000,t*0.25-2660,IF(t&lt;=55000,t*0.3-4410,t*0.35-7160))))))</x:f>
        <x:v>21.15</x:v>
      </x:c>
      <x:c r="F9" s="17" t="n">
        <x:f>B9-C9-D9-E9</x:f>
        <x:v>5683.85</x:v>
      </x:c>
      <x:c r="G9" s="17" t="n">
        <x:v>24.28</x:v>
      </x:c>
      <x:c r="H9" s="17" t="n">
        <x:f>IF(X9&gt;0,X9,G9*'假设'!$B$2)</x:f>
        <x:v>626.4240000000001</x:v>
      </x:c>
      <x:c r="I9" s="17" t="n">
        <x:f>G9*'假设'!$B$3</x:f>
        <x:v>1214</x:v>
      </x:c>
      <x:c r="J9" s="17" t="n">
        <x:v>132</x:v>
      </x:c>
      <x:c r="K9" s="17" t="n">
        <x:v>1460</x:v>
      </x:c>
      <x:c r="L9" s="17" t="n">
        <x:v>118</x:v>
      </x:c>
      <x:c r="M9" s="17" t="n">
        <x:v>182</x:v>
      </x:c>
      <x:c r="N9" s="17" t="n">
        <x:f>H9*'假设'!$B$13/'假设'!$B$14</x:f>
        <x:v>52.202000000000005</x:v>
      </x:c>
      <x:c r="O9" s="17" t="n">
        <x:f>H9*'假设'!$B$15</x:f>
        <x:v>62.64240000000001</x:v>
      </x:c>
      <x:c r="P9" s="17" t="n">
        <x:f>F9-H9-J9-K9-L9</x:f>
        <x:v>3347.4260000000004</x:v>
      </x:c>
      <x:c r="Q9" s="17" t="n">
        <x:f>P9-N9</x:f>
        <x:v>3295.224</x:v>
      </x:c>
      <x:c r="R9" s="17" t="n">
        <x:f>P9-O9</x:f>
        <x:v>3284.7836</x:v>
      </x:c>
      <x:c r="S9" s="17" t="n">
        <x:f>F9-I9-J9-K9-M9</x:f>
        <x:v>2695.8500000000004</x:v>
      </x:c>
      <x:c r="T9" s="17" t="n">
        <x:f>(H9+N9)*'假设'!$B$16</x:f>
        <x:v>2714.5040000000004</x:v>
      </x:c>
      <x:c r="U9" s="18" t="n">
        <x:f>H9/B9</x:f>
        <x:v>0.08948914285714286</x:v>
      </x:c>
      <x:c r="V9" s="18" t="n">
        <x:f>I9/B9</x:f>
        <x:v>0.17342857142857143</x:v>
      </x:c>
      <x:c r="W9" s="16" t="n">
        <x:v>39</x:v>
      </x:c>
      <x:c r="X9" s="16"/>
    </x:row>
    <x:row r="10">
      <x:c r="A10" s="16" t="str">
        <x:v>杭州</x:v>
      </x:c>
      <x:c r="B10" s="17" t="n">
        <x:v>8000</x:v>
      </x:c>
      <x:c r="C10" s="17" t="n">
        <x:f>MAX(B10,'假设'!$B$6)*'假设'!$B$4</x:f>
        <x:v>840</x:v>
      </x:c>
      <x:c r="D10" s="17" t="n">
        <x:f>MAX(B10,'假设'!$B$6)*'假设'!$B$5</x:f>
        <x:v>640</x:v>
      </x:c>
      <x:c r="E10" s="17" t="n">
        <x:f>LET(t,MAX(0,B10-C10-D10-'假设'!$B$7),IF(t&lt;=3000,t*0.03,IF(t&lt;=12000,t*0.1-210,IF(t&lt;=25000,t*0.2-1410,IF(t&lt;=35000,t*0.25-2660,IF(t&lt;=55000,t*0.3-4410,t*0.35-7160))))))</x:f>
        <x:v>45.6</x:v>
      </x:c>
      <x:c r="F10" s="17" t="n">
        <x:f>B10-C10-D10-E10</x:f>
        <x:v>6474.4</x:v>
      </x:c>
      <x:c r="G10" s="17" t="n">
        <x:v>54.47</x:v>
      </x:c>
      <x:c r="H10" s="17" t="n">
        <x:f>IF(X10&gt;0,X10,G10*'假设'!$B$2)</x:f>
        <x:v>1484</x:v>
      </x:c>
      <x:c r="I10" s="17" t="n">
        <x:f>G10*'假设'!$B$3</x:f>
        <x:v>2723.5</x:v>
      </x:c>
      <x:c r="J10" s="17" t="n">
        <x:v>176</x:v>
      </x:c>
      <x:c r="K10" s="17" t="n">
        <x:v>1629</x:v>
      </x:c>
      <x:c r="L10" s="17" t="n">
        <x:v>118</x:v>
      </x:c>
      <x:c r="M10" s="17" t="n">
        <x:v>182</x:v>
      </x:c>
      <x:c r="N10" s="17" t="n">
        <x:f>H10*'假设'!$B$13/'假设'!$B$14</x:f>
        <x:v>123.66666666666667</x:v>
      </x:c>
      <x:c r="O10" s="17" t="n">
        <x:f>H10*'假设'!$B$15</x:f>
        <x:v>148.4</x:v>
      </x:c>
      <x:c r="P10" s="17" t="n">
        <x:f>F10-H10-J10-K10-L10</x:f>
        <x:v>3067.3999999999996</x:v>
      </x:c>
      <x:c r="Q10" s="17" t="n">
        <x:f>P10-N10</x:f>
        <x:v>2943.733333333333</x:v>
      </x:c>
      <x:c r="R10" s="17" t="n">
        <x:f>P10-O10</x:f>
        <x:v>2918.9999999999995</x:v>
      </x:c>
      <x:c r="S10" s="17" t="n">
        <x:f>F10-I10-J10-K10-M10</x:f>
        <x:v>1763.8999999999996</x:v>
      </x:c>
      <x:c r="T10" s="17" t="n">
        <x:f>(H10+N10)*'假设'!$B$16</x:f>
        <x:v>6430.666666666667</x:v>
      </x:c>
      <x:c r="U10" s="18" t="n">
        <x:f>H10/B10</x:f>
        <x:v>0.1855</x:v>
      </x:c>
      <x:c r="V10" s="18" t="n">
        <x:f>I10/B10</x:f>
        <x:v>0.3404375</x:v>
      </x:c>
      <x:c r="W10" s="16" t="n">
        <x:v>5</x:v>
      </x:c>
      <x:c r="X10" s="16" t="n">
        <x:v>1484</x:v>
      </x:c>
    </x:row>
    <x:row r="11">
      <x:c r="A11" s="16" t="str">
        <x:v>宁波</x:v>
      </x:c>
      <x:c r="B11" s="17" t="n">
        <x:v>7000</x:v>
      </x:c>
      <x:c r="C11" s="17" t="n">
        <x:f>MAX(B11,'假设'!$B$6)*'假设'!$B$4</x:f>
        <x:v>735</x:v>
      </x:c>
      <x:c r="D11" s="17" t="n">
        <x:f>MAX(B11,'假设'!$B$6)*'假设'!$B$5</x:f>
        <x:v>560</x:v>
      </x:c>
      <x:c r="E11" s="17" t="n">
        <x:f>LET(t,MAX(0,B11-C11-D11-'假设'!$B$7),IF(t&lt;=3000,t*0.03,IF(t&lt;=12000,t*0.1-210,IF(t&lt;=25000,t*0.2-1410,IF(t&lt;=35000,t*0.25-2660,IF(t&lt;=55000,t*0.3-4410,t*0.35-7160))))))</x:f>
        <x:v>21.15</x:v>
      </x:c>
      <x:c r="F11" s="17" t="n">
        <x:f>B11-C11-D11-E11</x:f>
        <x:v>5683.85</x:v>
      </x:c>
      <x:c r="G11" s="17" t="n">
        <x:v>31.56</x:v>
      </x:c>
      <x:c r="H11" s="17" t="n">
        <x:f>IF(X11&gt;0,X11,G11*'假设'!$B$2)</x:f>
        <x:v>814.2479999999999</x:v>
      </x:c>
      <x:c r="I11" s="17" t="n">
        <x:f>G11*'假设'!$B$3</x:f>
        <x:v>1578</x:v>
      </x:c>
      <x:c r="J11" s="17" t="n">
        <x:v>132</x:v>
      </x:c>
      <x:c r="K11" s="17" t="n">
        <x:v>1498</x:v>
      </x:c>
      <x:c r="L11" s="17" t="n">
        <x:v>118</x:v>
      </x:c>
      <x:c r="M11" s="17" t="n">
        <x:v>182</x:v>
      </x:c>
      <x:c r="N11" s="17" t="n">
        <x:f>H11*'假设'!$B$13/'假设'!$B$14</x:f>
        <x:v>67.854</x:v>
      </x:c>
      <x:c r="O11" s="17" t="n">
        <x:f>H11*'假设'!$B$15</x:f>
        <x:v>81.4248</x:v>
      </x:c>
      <x:c r="P11" s="17" t="n">
        <x:f>F11-H11-J11-K11-L11</x:f>
        <x:v>3121.6020000000008</x:v>
      </x:c>
      <x:c r="Q11" s="17" t="n">
        <x:f>P11-N11</x:f>
        <x:v>3053.748000000001</x:v>
      </x:c>
      <x:c r="R11" s="17" t="n">
        <x:f>P11-O11</x:f>
        <x:v>3040.177200000001</x:v>
      </x:c>
      <x:c r="S11" s="17" t="n">
        <x:f>F11-I11-J11-K11-M11</x:f>
        <x:v>2293.8500000000004</x:v>
      </x:c>
      <x:c r="T11" s="17" t="n">
        <x:f>(H11+N11)*'假设'!$B$16</x:f>
        <x:v>3528.408</x:v>
      </x:c>
      <x:c r="U11" s="18" t="n">
        <x:f>H11/B11</x:f>
        <x:v>0.11632114285714285</x:v>
      </x:c>
      <x:c r="V11" s="18" t="n">
        <x:f>I11/B11</x:f>
        <x:v>0.22542857142857142</x:v>
      </x:c>
      <x:c r="W11" s="16" t="n">
        <x:v>15</x:v>
      </x:c>
      <x:c r="X11" s="16"/>
    </x:row>
    <x:row r="12">
      <x:c r="A12" s="16" t="str">
        <x:v>扬州</x:v>
      </x:c>
      <x:c r="B12" s="17" t="n">
        <x:v>6000</x:v>
      </x:c>
      <x:c r="C12" s="17" t="n">
        <x:f>MAX(B12,'假设'!$B$6)*'假设'!$B$4</x:f>
        <x:v>630</x:v>
      </x:c>
      <x:c r="D12" s="17" t="n">
        <x:f>MAX(B12,'假设'!$B$6)*'假设'!$B$5</x:f>
        <x:v>480</x:v>
      </x:c>
      <x:c r="E12" s="17" t="n">
        <x:f>LET(t,MAX(0,B12-C12-D12-'假设'!$B$7),IF(t&lt;=3000,t*0.03,IF(t&lt;=12000,t*0.1-210,IF(t&lt;=25000,t*0.2-1410,IF(t&lt;=35000,t*0.25-2660,IF(t&lt;=55000,t*0.3-4410,t*0.35-7160))))))</x:f>
        <x:v>0</x:v>
      </x:c>
      <x:c r="F12" s="17" t="n">
        <x:f>B12-C12-D12-E12</x:f>
        <x:v>4890</x:v>
      </x:c>
      <x:c r="G12" s="17" t="n">
        <x:v>21.2</x:v>
      </x:c>
      <x:c r="H12" s="17" t="n">
        <x:f>IF(X12&gt;0,X12,G12*'假设'!$B$2)</x:f>
        <x:v>546.96</x:v>
      </x:c>
      <x:c r="I12" s="17" t="n">
        <x:f>G12*'假设'!$B$3</x:f>
        <x:v>1060</x:v>
      </x:c>
      <x:c r="J12" s="17" t="n">
        <x:v>88</x:v>
      </x:c>
      <x:c r="K12" s="17" t="n">
        <x:v>995</x:v>
      </x:c>
      <x:c r="L12" s="17" t="n">
        <x:v>115</x:v>
      </x:c>
      <x:c r="M12" s="17" t="n">
        <x:v>177</x:v>
      </x:c>
      <x:c r="N12" s="17" t="n">
        <x:f>H12*'假设'!$B$13/'假设'!$B$14</x:f>
        <x:v>45.580000000000005</x:v>
      </x:c>
      <x:c r="O12" s="17" t="n">
        <x:f>H12*'假设'!$B$15</x:f>
        <x:v>54.696000000000005</x:v>
      </x:c>
      <x:c r="P12" s="17" t="n">
        <x:f>F12-H12-J12-K12-L12</x:f>
        <x:v>3145.04</x:v>
      </x:c>
      <x:c r="Q12" s="17" t="n">
        <x:f>P12-N12</x:f>
        <x:v>3099.46</x:v>
      </x:c>
      <x:c r="R12" s="17" t="n">
        <x:f>P12-O12</x:f>
        <x:v>3090.344</x:v>
      </x:c>
      <x:c r="S12" s="17" t="n">
        <x:f>F12-I12-J12-K12-M12</x:f>
        <x:v>2570</x:v>
      </x:c>
      <x:c r="T12" s="17" t="n">
        <x:f>(H12+N12)*'假设'!$B$16</x:f>
        <x:v>2370.1600000000003</x:v>
      </x:c>
      <x:c r="U12" s="18" t="n">
        <x:f>H12/B12</x:f>
        <x:v>0.09116</x:v>
      </x:c>
      <x:c r="V12" s="18" t="n">
        <x:f>I12/B12</x:f>
        <x:v>0.17666666666666667</x:v>
      </x:c>
      <x:c r="W12" s="16" t="n">
        <x:v>64</x:v>
      </x:c>
      <x:c r="X12" s="16"/>
    </x:row>
    <x:row r="13">
      <x:c r="A13" s="16" t="str">
        <x:v>镇江</x:v>
      </x:c>
      <x:c r="B13" s="17" t="n">
        <x:v>6000</x:v>
      </x:c>
      <x:c r="C13" s="17" t="n">
        <x:f>MAX(B13,'假设'!$B$6)*'假设'!$B$4</x:f>
        <x:v>630</x:v>
      </x:c>
      <x:c r="D13" s="17" t="n">
        <x:f>MAX(B13,'假设'!$B$6)*'假设'!$B$5</x:f>
        <x:v>480</x:v>
      </x:c>
      <x:c r="E13" s="17" t="n">
        <x:f>LET(t,MAX(0,B13-C13-D13-'假设'!$B$7),IF(t&lt;=3000,t*0.03,IF(t&lt;=12000,t*0.1-210,IF(t&lt;=25000,t*0.2-1410,IF(t&lt;=35000,t*0.25-2660,IF(t&lt;=55000,t*0.3-4410,t*0.35-7160))))))</x:f>
        <x:v>0</x:v>
      </x:c>
      <x:c r="F13" s="17" t="n">
        <x:f>B13-C13-D13-E13</x:f>
        <x:v>4890</x:v>
      </x:c>
      <x:c r="G13" s="17" t="n">
        <x:v>16.37</x:v>
      </x:c>
      <x:c r="H13" s="17" t="n">
        <x:f>IF(X13&gt;0,X13,G13*'假设'!$B$2)</x:f>
        <x:v>422.34600000000006</x:v>
      </x:c>
      <x:c r="I13" s="17" t="n">
        <x:f>G13*'假设'!$B$3</x:f>
        <x:v>818.5</x:v>
      </x:c>
      <x:c r="J13" s="17" t="n">
        <x:v>88</x:v>
      </x:c>
      <x:c r="K13" s="17" t="n">
        <x:v>1151</x:v>
      </x:c>
      <x:c r="L13" s="17" t="n">
        <x:v>115</x:v>
      </x:c>
      <x:c r="M13" s="17" t="n">
        <x:v>177</x:v>
      </x:c>
      <x:c r="N13" s="17" t="n">
        <x:f>H13*'假设'!$B$13/'假设'!$B$14</x:f>
        <x:v>35.1955</x:v>
      </x:c>
      <x:c r="O13" s="17" t="n">
        <x:f>H13*'假设'!$B$15</x:f>
        <x:v>42.23460000000001</x:v>
      </x:c>
      <x:c r="P13" s="17" t="n">
        <x:f>F13-H13-J13-K13-L13</x:f>
        <x:v>3113.6539999999995</x:v>
      </x:c>
      <x:c r="Q13" s="17" t="n">
        <x:f>P13-N13</x:f>
        <x:v>3078.4584999999997</x:v>
      </x:c>
      <x:c r="R13" s="17" t="n">
        <x:f>P13-O13</x:f>
        <x:v>3071.4193999999993</x:v>
      </x:c>
      <x:c r="S13" s="17" t="n">
        <x:f>F13-I13-J13-K13-M13</x:f>
        <x:v>2655.5</x:v>
      </x:c>
      <x:c r="T13" s="17" t="n">
        <x:f>(H13+N13)*'假设'!$B$16</x:f>
        <x:v>1830.1660000000002</x:v>
      </x:c>
      <x:c r="U13" s="18" t="n">
        <x:f>H13/B13</x:f>
        <x:v>0.07039100000000001</x:v>
      </x:c>
      <x:c r="V13" s="18" t="n">
        <x:f>I13/B13</x:f>
        <x:v>0.13641666666666666</x:v>
      </x:c>
      <x:c r="W13" s="16" t="n">
        <x:v>149</x:v>
      </x:c>
      <x:c r="X13" s="16"/>
    </x:row>
    <x:row r="14">
      <x:c r="A14" s="16" t="str">
        <x:v>南通</x:v>
      </x:c>
      <x:c r="B14" s="17" t="n">
        <x:v>6000</x:v>
      </x:c>
      <x:c r="C14" s="17" t="n">
        <x:f>MAX(B14,'假设'!$B$6)*'假设'!$B$4</x:f>
        <x:v>630</x:v>
      </x:c>
      <x:c r="D14" s="17" t="n">
        <x:f>MAX(B14,'假设'!$B$6)*'假设'!$B$5</x:f>
        <x:v>480</x:v>
      </x:c>
      <x:c r="E14" s="17" t="n">
        <x:f>LET(t,MAX(0,B14-C14-D14-'假设'!$B$7),IF(t&lt;=3000,t*0.03,IF(t&lt;=12000,t*0.1-210,IF(t&lt;=25000,t*0.2-1410,IF(t&lt;=35000,t*0.25-2660,IF(t&lt;=55000,t*0.3-4410,t*0.35-7160))))))</x:f>
        <x:v>0</x:v>
      </x:c>
      <x:c r="F14" s="17" t="n">
        <x:f>B14-C14-D14-E14</x:f>
        <x:v>4890</x:v>
      </x:c>
      <x:c r="G14" s="17" t="n">
        <x:v>20.56</x:v>
      </x:c>
      <x:c r="H14" s="17" t="n">
        <x:f>IF(X14&gt;0,X14,G14*'假设'!$B$2)</x:f>
        <x:v>530.448</x:v>
      </x:c>
      <x:c r="I14" s="17" t="n">
        <x:f>G14*'假设'!$B$3</x:f>
        <x:v>1028</x:v>
      </x:c>
      <x:c r="J14" s="17" t="n">
        <x:v>132</x:v>
      </x:c>
      <x:c r="K14" s="17" t="n">
        <x:v>1094</x:v>
      </x:c>
      <x:c r="L14" s="17" t="n">
        <x:v>115</x:v>
      </x:c>
      <x:c r="M14" s="17" t="n">
        <x:v>177</x:v>
      </x:c>
      <x:c r="N14" s="17" t="n">
        <x:f>H14*'假设'!$B$13/'假设'!$B$14</x:f>
        <x:v>44.204</x:v>
      </x:c>
      <x:c r="O14" s="17" t="n">
        <x:f>H14*'假设'!$B$15</x:f>
        <x:v>53.0448</x:v>
      </x:c>
      <x:c r="P14" s="17" t="n">
        <x:f>F14-H14-J14-K14-L14</x:f>
        <x:v>3018.5519999999997</x:v>
      </x:c>
      <x:c r="Q14" s="17" t="n">
        <x:f>P14-N14</x:f>
        <x:v>2974.3479999999995</x:v>
      </x:c>
      <x:c r="R14" s="17" t="n">
        <x:f>P14-O14</x:f>
        <x:v>2965.5071999999996</x:v>
      </x:c>
      <x:c r="S14" s="17" t="n">
        <x:f>F14-I14-J14-K14-M14</x:f>
        <x:v>2459</x:v>
      </x:c>
      <x:c r="T14" s="17" t="n">
        <x:f>(H14+N14)*'假设'!$B$16</x:f>
        <x:v>2298.6079999999997</x:v>
      </x:c>
      <x:c r="U14" s="18" t="n">
        <x:f>H14/B14</x:f>
        <x:v>0.088408</x:v>
      </x:c>
      <x:c r="V14" s="18" t="n">
        <x:f>I14/B14</x:f>
        <x:v>0.17133333333333334</x:v>
      </x:c>
      <x:c r="W14" s="16" t="n">
        <x:v>69</x:v>
      </x:c>
      <x:c r="X14" s="16"/>
    </x:row>
    <x:row r="15">
      <x:c r="A15" s="16" t="str">
        <x:v>无锡</x:v>
      </x:c>
      <x:c r="B15" s="17" t="n">
        <x:v>6500</x:v>
      </x:c>
      <x:c r="C15" s="17" t="n">
        <x:f>MAX(B15,'假设'!$B$6)*'假设'!$B$4</x:f>
        <x:v>682.5</x:v>
      </x:c>
      <x:c r="D15" s="17" t="n">
        <x:f>MAX(B15,'假设'!$B$6)*'假设'!$B$5</x:f>
        <x:v>520</x:v>
      </x:c>
      <x:c r="E15" s="17" t="n">
        <x:f>LET(t,MAX(0,B15-C15-D15-'假设'!$B$7),IF(t&lt;=3000,t*0.03,IF(t&lt;=12000,t*0.1-210,IF(t&lt;=25000,t*0.2-1410,IF(t&lt;=35000,t*0.25-2660,IF(t&lt;=55000,t*0.3-4410,t*0.35-7160))))))</x:f>
        <x:v>8.924999999999999</x:v>
      </x:c>
      <x:c r="F15" s="17" t="n">
        <x:f>B15-C15-D15-E15</x:f>
        <x:v>5288.575</x:v>
      </x:c>
      <x:c r="G15" s="17" t="n">
        <x:v>25.49</x:v>
      </x:c>
      <x:c r="H15" s="17" t="n">
        <x:f>IF(X15&gt;0,X15,G15*'假设'!$B$2)</x:f>
        <x:v>657.6419999999999</x:v>
      </x:c>
      <x:c r="I15" s="17" t="n">
        <x:f>G15*'假设'!$B$3</x:f>
        <x:v>1274.5</x:v>
      </x:c>
      <x:c r="J15" s="17" t="n">
        <x:v>132</x:v>
      </x:c>
      <x:c r="K15" s="17" t="n">
        <x:v>1446</x:v>
      </x:c>
      <x:c r="L15" s="17" t="n">
        <x:v>115</x:v>
      </x:c>
      <x:c r="M15" s="17" t="n">
        <x:v>177</x:v>
      </x:c>
      <x:c r="N15" s="17" t="n">
        <x:f>H15*'假设'!$B$13/'假设'!$B$14</x:f>
        <x:v>54.80349999999999</x:v>
      </x:c>
      <x:c r="O15" s="17" t="n">
        <x:f>H15*'假设'!$B$15</x:f>
        <x:v>65.7642</x:v>
      </x:c>
      <x:c r="P15" s="17" t="n">
        <x:f>F15-H15-J15-K15-L15</x:f>
        <x:v>2937.933</x:v>
      </x:c>
      <x:c r="Q15" s="17" t="n">
        <x:f>P15-N15</x:f>
        <x:v>2883.1295</x:v>
      </x:c>
      <x:c r="R15" s="17" t="n">
        <x:f>P15-O15</x:f>
        <x:v>2872.1688</x:v>
      </x:c>
      <x:c r="S15" s="17" t="n">
        <x:f>F15-I15-J15-K15-M15</x:f>
        <x:v>2259.075</x:v>
      </x:c>
      <x:c r="T15" s="17" t="n">
        <x:f>(H15+N15)*'假设'!$B$16</x:f>
        <x:v>2849.7819999999997</x:v>
      </x:c>
      <x:c r="U15" s="18" t="n">
        <x:f>H15/B15</x:f>
        <x:v>0.1011756923076923</x:v>
      </x:c>
      <x:c r="V15" s="18" t="n">
        <x:f>I15/B15</x:f>
        <x:v>0.19607692307692307</x:v>
      </x:c>
      <x:c r="W15" s="16" t="n">
        <x:v>29</x:v>
      </x:c>
      <x:c r="X15" s="16"/>
    </x:row>
    <x:row r="16">
      <x:c r="A16" s="16" t="str">
        <x:v>湖州</x:v>
      </x:c>
      <x:c r="B16" s="17" t="n">
        <x:v>6000</x:v>
      </x:c>
      <x:c r="C16" s="17" t="n">
        <x:f>MAX(B16,'假设'!$B$6)*'假设'!$B$4</x:f>
        <x:v>630</x:v>
      </x:c>
      <x:c r="D16" s="17" t="n">
        <x:f>MAX(B16,'假设'!$B$6)*'假设'!$B$5</x:f>
        <x:v>480</x:v>
      </x:c>
      <x:c r="E16" s="17" t="n">
        <x:f>LET(t,MAX(0,B16-C16-D16-'假设'!$B$7),IF(t&lt;=3000,t*0.03,IF(t&lt;=12000,t*0.1-210,IF(t&lt;=25000,t*0.2-1410,IF(t&lt;=35000,t*0.25-2660,IF(t&lt;=55000,t*0.3-4410,t*0.35-7160))))))</x:f>
        <x:v>0</x:v>
      </x:c>
      <x:c r="F16" s="17" t="n">
        <x:f>B16-C16-D16-E16</x:f>
        <x:v>4890</x:v>
      </x:c>
      <x:c r="G16" s="17" t="n">
        <x:v>21.88</x:v>
      </x:c>
      <x:c r="H16" s="17" t="n">
        <x:f>IF(X16&gt;0,X16,G16*'假设'!$B$2)</x:f>
        <x:v>564.504</x:v>
      </x:c>
      <x:c r="I16" s="17" t="n">
        <x:f>G16*'假设'!$B$3</x:f>
        <x:v>1094</x:v>
      </x:c>
      <x:c r="J16" s="17" t="n">
        <x:v>88</x:v>
      </x:c>
      <x:c r="K16" s="17" t="n">
        <x:v>1348</x:v>
      </x:c>
      <x:c r="L16" s="17" t="n">
        <x:v>118</x:v>
      </x:c>
      <x:c r="M16" s="17" t="n">
        <x:v>182</x:v>
      </x:c>
      <x:c r="N16" s="17" t="n">
        <x:f>H16*'假设'!$B$13/'假设'!$B$14</x:f>
        <x:v>47.042</x:v>
      </x:c>
      <x:c r="O16" s="17" t="n">
        <x:f>H16*'假设'!$B$15</x:f>
        <x:v>56.4504</x:v>
      </x:c>
      <x:c r="P16" s="17" t="n">
        <x:f>F16-H16-J16-K16-L16</x:f>
        <x:v>2771.496</x:v>
      </x:c>
      <x:c r="Q16" s="17" t="n">
        <x:f>P16-N16</x:f>
        <x:v>2724.454</x:v>
      </x:c>
      <x:c r="R16" s="17" t="n">
        <x:f>P16-O16</x:f>
        <x:v>2715.0456</x:v>
      </x:c>
      <x:c r="S16" s="17" t="n">
        <x:f>F16-I16-J16-K16-M16</x:f>
        <x:v>2178</x:v>
      </x:c>
      <x:c r="T16" s="17" t="n">
        <x:f>(H16+N16)*'假设'!$B$16</x:f>
        <x:v>2446.184</x:v>
      </x:c>
      <x:c r="U16" s="18" t="n">
        <x:f>H16/B16</x:f>
        <x:v>0.094084</x:v>
      </x:c>
      <x:c r="V16" s="18" t="n">
        <x:f>I16/B16</x:f>
        <x:v>0.18233333333333332</x:v>
      </x:c>
      <x:c r="W16" s="16" t="n">
        <x:v>56</x:v>
      </x:c>
      <x:c r="X16" s="16"/>
    </x:row>
    <x:row r="17">
      <x:c r="A17" s="16" t="str">
        <x:v>宿迁</x:v>
      </x:c>
      <x:c r="B17" s="17" t="n">
        <x:v>5000</x:v>
      </x:c>
      <x:c r="C17" s="17" t="n">
        <x:f>MAX(B17,'假设'!$B$6)*'假设'!$B$4</x:f>
        <x:v>525</x:v>
      </x:c>
      <x:c r="D17" s="17" t="n">
        <x:f>MAX(B17,'假设'!$B$6)*'假设'!$B$5</x:f>
        <x:v>400</x:v>
      </x:c>
      <x:c r="E17" s="17" t="n">
        <x:f>LET(t,MAX(0,B17-C17-D17-'假设'!$B$7),IF(t&lt;=3000,t*0.03,IF(t&lt;=12000,t*0.1-210,IF(t&lt;=25000,t*0.2-1410,IF(t&lt;=35000,t*0.25-2660,IF(t&lt;=55000,t*0.3-4410,t*0.35-7160))))))</x:f>
        <x:v>0</x:v>
      </x:c>
      <x:c r="F17" s="17" t="n">
        <x:f>B17-C17-D17-E17</x:f>
        <x:v>4075</x:v>
      </x:c>
      <x:c r="G17" s="17" t="n">
        <x:v>13.39</x:v>
      </x:c>
      <x:c r="H17" s="17" t="n">
        <x:f>IF(X17&gt;0,X17,G17*'假设'!$B$2)</x:f>
        <x:v>345.46200000000005</x:v>
      </x:c>
      <x:c r="I17" s="17" t="n">
        <x:f>G17*'假设'!$B$3</x:f>
        <x:v>669.5</x:v>
      </x:c>
      <x:c r="J17" s="17" t="n">
        <x:v>88</x:v>
      </x:c>
      <x:c r="K17" s="17" t="n">
        <x:v>694</x:v>
      </x:c>
      <x:c r="L17" s="17" t="n">
        <x:v>115</x:v>
      </x:c>
      <x:c r="M17" s="17" t="n">
        <x:v>177</x:v>
      </x:c>
      <x:c r="N17" s="17" t="n">
        <x:f>H17*'假设'!$B$13/'假设'!$B$14</x:f>
        <x:v>28.788500000000003</x:v>
      </x:c>
      <x:c r="O17" s="17" t="n">
        <x:f>H17*'假设'!$B$15</x:f>
        <x:v>34.546200000000006</x:v>
      </x:c>
      <x:c r="P17" s="17" t="n">
        <x:f>F17-H17-J17-K17-L17</x:f>
        <x:v>2832.538</x:v>
      </x:c>
      <x:c r="Q17" s="17" t="n">
        <x:f>P17-N17</x:f>
        <x:v>2803.7495</x:v>
      </x:c>
      <x:c r="R17" s="17" t="n">
        <x:f>P17-O17</x:f>
        <x:v>2797.9918</x:v>
      </x:c>
      <x:c r="S17" s="17" t="n">
        <x:f>F17-I17-J17-K17-M17</x:f>
        <x:v>2446.5</x:v>
      </x:c>
      <x:c r="T17" s="17" t="n">
        <x:f>(H17+N17)*'假设'!$B$16</x:f>
        <x:v>1497.0020000000002</x:v>
      </x:c>
      <x:c r="U17" s="18" t="n">
        <x:f>H17/B17</x:f>
        <x:v>0.06909240000000001</x:v>
      </x:c>
      <x:c r="V17" s="18" t="n">
        <x:f>I17/B17</x:f>
        <x:v>0.1339</x:v>
      </x:c>
      <x:c r="W17" s="16" t="n">
        <x:v>265</x:v>
      </x:c>
      <x:c r="X17" s="16"/>
    </x:row>
    <x:row r="18">
      <x:c r="A18" s="16" t="str">
        <x:v>金华</x:v>
      </x:c>
      <x:c r="B18" s="17" t="n">
        <x:v>6000</x:v>
      </x:c>
      <x:c r="C18" s="17" t="n">
        <x:f>MAX(B18,'假设'!$B$6)*'假设'!$B$4</x:f>
        <x:v>630</x:v>
      </x:c>
      <x:c r="D18" s="17" t="n">
        <x:f>MAX(B18,'假设'!$B$6)*'假设'!$B$5</x:f>
        <x:v>480</x:v>
      </x:c>
      <x:c r="E18" s="17" t="n">
        <x:f>LET(t,MAX(0,B18-C18-D18-'假设'!$B$7),IF(t&lt;=3000,t*0.03,IF(t&lt;=12000,t*0.1-210,IF(t&lt;=25000,t*0.2-1410,IF(t&lt;=35000,t*0.25-2660,IF(t&lt;=55000,t*0.3-4410,t*0.35-7160))))))</x:f>
        <x:v>0</x:v>
      </x:c>
      <x:c r="F18" s="17" t="n">
        <x:f>B18-C18-D18-E18</x:f>
        <x:v>4890</x:v>
      </x:c>
      <x:c r="G18" s="17" t="n">
        <x:v>24.4</x:v>
      </x:c>
      <x:c r="H18" s="17" t="n">
        <x:f>IF(X18&gt;0,X18,G18*'假设'!$B$2)</x:f>
        <x:v>629.52</x:v>
      </x:c>
      <x:c r="I18" s="17" t="n">
        <x:f>G18*'假设'!$B$3</x:f>
        <x:v>1220</x:v>
      </x:c>
      <x:c r="J18" s="17" t="n">
        <x:v>132</x:v>
      </x:c>
      <x:c r="K18" s="17" t="n">
        <x:v>1298</x:v>
      </x:c>
      <x:c r="L18" s="17" t="n">
        <x:v>118</x:v>
      </x:c>
      <x:c r="M18" s="17" t="n">
        <x:v>182</x:v>
      </x:c>
      <x:c r="N18" s="17" t="n">
        <x:f>H18*'假设'!$B$13/'假设'!$B$14</x:f>
        <x:v>52.46</x:v>
      </x:c>
      <x:c r="O18" s="17" t="n">
        <x:f>H18*'假设'!$B$15</x:f>
        <x:v>62.952</x:v>
      </x:c>
      <x:c r="P18" s="17" t="n">
        <x:f>F18-H18-J18-K18-L18</x:f>
        <x:v>2712.4799999999996</x:v>
      </x:c>
      <x:c r="Q18" s="17" t="n">
        <x:f>P18-N18</x:f>
        <x:v>2660.0199999999995</x:v>
      </x:c>
      <x:c r="R18" s="17" t="n">
        <x:f>P18-O18</x:f>
        <x:v>2649.5279999999993</x:v>
      </x:c>
      <x:c r="S18" s="17" t="n">
        <x:f>F18-I18-J18-K18-M18</x:f>
        <x:v>2058</x:v>
      </x:c>
      <x:c r="T18" s="17" t="n">
        <x:f>(H18+N18)*'假设'!$B$16</x:f>
        <x:v>2727.92</x:v>
      </x:c>
      <x:c r="U18" s="18" t="n">
        <x:f>H18/B18</x:f>
        <x:v>0.10492</x:v>
      </x:c>
      <x:c r="V18" s="18" t="n">
        <x:f>I18/B18</x:f>
        <x:v>0.20333333333333334</x:v>
      </x:c>
      <x:c r="W18" s="16" t="n">
        <x:v>38</x:v>
      </x:c>
      <x:c r="X18" s="16"/>
    </x:row>
    <x:row r="19">
      <x:c r="A19" s="16" t="str">
        <x:v>嘉兴</x:v>
      </x:c>
      <x:c r="B19" s="17" t="n">
        <x:v>6000</x:v>
      </x:c>
      <x:c r="C19" s="17" t="n">
        <x:f>MAX(B19,'假设'!$B$6)*'假设'!$B$4</x:f>
        <x:v>630</x:v>
      </x:c>
      <x:c r="D19" s="17" t="n">
        <x:f>MAX(B19,'假设'!$B$6)*'假设'!$B$5</x:f>
        <x:v>480</x:v>
      </x:c>
      <x:c r="E19" s="17" t="n">
        <x:f>LET(t,MAX(0,B19-C19-D19-'假设'!$B$7),IF(t&lt;=3000,t*0.03,IF(t&lt;=12000,t*0.1-210,IF(t&lt;=25000,t*0.2-1410,IF(t&lt;=35000,t*0.25-2660,IF(t&lt;=55000,t*0.3-4410,t*0.35-7160))))))</x:f>
        <x:v>0</x:v>
      </x:c>
      <x:c r="F19" s="17" t="n">
        <x:f>B19-C19-D19-E19</x:f>
        <x:v>4890</x:v>
      </x:c>
      <x:c r="G19" s="17" t="n">
        <x:v>22.23</x:v>
      </x:c>
      <x:c r="H19" s="17" t="n">
        <x:f>IF(X19&gt;0,X19,G19*'假设'!$B$2)</x:f>
        <x:v>573.534</x:v>
      </x:c>
      <x:c r="I19" s="17" t="n">
        <x:f>G19*'假设'!$B$3</x:f>
        <x:v>1111.5</x:v>
      </x:c>
      <x:c r="J19" s="17" t="n">
        <x:v>88</x:v>
      </x:c>
      <x:c r="K19" s="17" t="n">
        <x:v>1406</x:v>
      </x:c>
      <x:c r="L19" s="17" t="n">
        <x:v>118</x:v>
      </x:c>
      <x:c r="M19" s="17" t="n">
        <x:v>182</x:v>
      </x:c>
      <x:c r="N19" s="17" t="n">
        <x:f>H19*'假设'!$B$13/'假设'!$B$14</x:f>
        <x:v>47.7945</x:v>
      </x:c>
      <x:c r="O19" s="17" t="n">
        <x:f>H19*'假设'!$B$15</x:f>
        <x:v>57.3534</x:v>
      </x:c>
      <x:c r="P19" s="17" t="n">
        <x:f>F19-H19-J19-K19-L19</x:f>
        <x:v>2704.4660000000003</x:v>
      </x:c>
      <x:c r="Q19" s="17" t="n">
        <x:f>P19-N19</x:f>
        <x:v>2656.6715000000004</x:v>
      </x:c>
      <x:c r="R19" s="17" t="n">
        <x:f>P19-O19</x:f>
        <x:v>2647.1126000000004</x:v>
      </x:c>
      <x:c r="S19" s="17" t="n">
        <x:f>F19-I19-J19-K19-M19</x:f>
        <x:v>2102.5</x:v>
      </x:c>
      <x:c r="T19" s="17" t="n">
        <x:f>(H19+N19)*'假设'!$B$16</x:f>
        <x:v>2485.314</x:v>
      </x:c>
      <x:c r="U19" s="18" t="n">
        <x:f>H19/B19</x:f>
        <x:v>0.095589</x:v>
      </x:c>
      <x:c r="V19" s="18" t="n">
        <x:f>I19/B19</x:f>
        <x:v>0.18525</x:v>
      </x:c>
      <x:c r="W19" s="16" t="n">
        <x:v>53</x:v>
      </x:c>
      <x:c r="X19" s="16"/>
    </x:row>
    <x:row r="20">
      <x:c r="A20" s="16" t="str">
        <x:v>台州</x:v>
      </x:c>
      <x:c r="B20" s="17" t="n">
        <x:v>6000</x:v>
      </x:c>
      <x:c r="C20" s="17" t="n">
        <x:f>MAX(B20,'假设'!$B$6)*'假设'!$B$4</x:f>
        <x:v>630</x:v>
      </x:c>
      <x:c r="D20" s="17" t="n">
        <x:f>MAX(B20,'假设'!$B$6)*'假设'!$B$5</x:f>
        <x:v>480</x:v>
      </x:c>
      <x:c r="E20" s="17" t="n">
        <x:f>LET(t,MAX(0,B20-C20-D20-'假设'!$B$7),IF(t&lt;=3000,t*0.03,IF(t&lt;=12000,t*0.1-210,IF(t&lt;=25000,t*0.2-1410,IF(t&lt;=35000,t*0.25-2660,IF(t&lt;=55000,t*0.3-4410,t*0.35-7160))))))</x:f>
        <x:v>0</x:v>
      </x:c>
      <x:c r="F20" s="17" t="n">
        <x:f>B20-C20-D20-E20</x:f>
        <x:v>4890</x:v>
      </x:c>
      <x:c r="G20" s="17" t="n">
        <x:v>25.32</x:v>
      </x:c>
      <x:c r="H20" s="17" t="n">
        <x:f>IF(X20&gt;0,X20,G20*'假设'!$B$2)</x:f>
        <x:v>653.256</x:v>
      </x:c>
      <x:c r="I20" s="17" t="n">
        <x:f>G20*'假设'!$B$3</x:f>
        <x:v>1266</x:v>
      </x:c>
      <x:c r="J20" s="17" t="n">
        <x:v>132</x:v>
      </x:c>
      <x:c r="K20" s="17" t="n">
        <x:v>1291</x:v>
      </x:c>
      <x:c r="L20" s="17" t="n">
        <x:v>118</x:v>
      </x:c>
      <x:c r="M20" s="17" t="n">
        <x:v>182</x:v>
      </x:c>
      <x:c r="N20" s="17" t="n">
        <x:f>H20*'假设'!$B$13/'假设'!$B$14</x:f>
        <x:v>54.437999999999995</x:v>
      </x:c>
      <x:c r="O20" s="17" t="n">
        <x:f>H20*'假设'!$B$15</x:f>
        <x:v>65.3256</x:v>
      </x:c>
      <x:c r="P20" s="17" t="n">
        <x:f>F20-H20-J20-K20-L20</x:f>
        <x:v>2695.7439999999997</x:v>
      </x:c>
      <x:c r="Q20" s="17" t="n">
        <x:f>P20-N20</x:f>
        <x:v>2641.3059999999996</x:v>
      </x:c>
      <x:c r="R20" s="17" t="n">
        <x:f>P20-O20</x:f>
        <x:v>2630.4183999999996</x:v>
      </x:c>
      <x:c r="S20" s="17" t="n">
        <x:f>F20-I20-J20-K20-M20</x:f>
        <x:v>2019</x:v>
      </x:c>
      <x:c r="T20" s="17" t="n">
        <x:f>(H20+N20)*'假设'!$B$16</x:f>
        <x:v>2830.776</x:v>
      </x:c>
      <x:c r="U20" s="18" t="n">
        <x:f>H20/B20</x:f>
        <x:v>0.108876</x:v>
      </x:c>
      <x:c r="V20" s="18" t="n">
        <x:f>I20/B20</x:f>
        <x:v>0.211</x:v>
      </x:c>
      <x:c r="W20" s="16" t="n">
        <x:v>30</x:v>
      </x:c>
      <x:c r="X20" s="16"/>
    </x:row>
    <x:row r="21">
      <x:c r="A21" s="16" t="str">
        <x:v>淮安</x:v>
      </x:c>
      <x:c r="B21" s="17" t="n">
        <x:v>5000</x:v>
      </x:c>
      <x:c r="C21" s="17" t="n">
        <x:f>MAX(B21,'假设'!$B$6)*'假设'!$B$4</x:f>
        <x:v>525</x:v>
      </x:c>
      <x:c r="D21" s="17" t="n">
        <x:f>MAX(B21,'假设'!$B$6)*'假设'!$B$5</x:f>
        <x:v>400</x:v>
      </x:c>
      <x:c r="E21" s="17" t="n">
        <x:f>LET(t,MAX(0,B21-C21-D21-'假设'!$B$7),IF(t&lt;=3000,t*0.03,IF(t&lt;=12000,t*0.1-210,IF(t&lt;=25000,t*0.2-1410,IF(t&lt;=35000,t*0.25-2660,IF(t&lt;=55000,t*0.3-4410,t*0.35-7160))))))</x:f>
        <x:v>0</x:v>
      </x:c>
      <x:c r="F21" s="17" t="n">
        <x:f>B21-C21-D21-E21</x:f>
        <x:v>4075</x:v>
      </x:c>
      <x:c r="G21" s="17" t="n">
        <x:v>14.12</x:v>
      </x:c>
      <x:c r="H21" s="17" t="n">
        <x:f>IF(X21&gt;0,X21,G21*'假设'!$B$2)</x:f>
        <x:v>364.296</x:v>
      </x:c>
      <x:c r="I21" s="17" t="n">
        <x:f>G21*'假设'!$B$3</x:f>
        <x:v>706</x:v>
      </x:c>
      <x:c r="J21" s="17" t="n">
        <x:v>88</x:v>
      </x:c>
      <x:c r="K21" s="17" t="n">
        <x:v>828</x:v>
      </x:c>
      <x:c r="L21" s="17" t="n">
        <x:v>115</x:v>
      </x:c>
      <x:c r="M21" s="17" t="n">
        <x:v>177</x:v>
      </x:c>
      <x:c r="N21" s="17" t="n">
        <x:f>H21*'假设'!$B$13/'假设'!$B$14</x:f>
        <x:v>30.358</x:v>
      </x:c>
      <x:c r="O21" s="17" t="n">
        <x:f>H21*'假设'!$B$15</x:f>
        <x:v>36.4296</x:v>
      </x:c>
      <x:c r="P21" s="17" t="n">
        <x:f>F21-H21-J21-K21-L21</x:f>
        <x:v>2679.704</x:v>
      </x:c>
      <x:c r="Q21" s="17" t="n">
        <x:f>P21-N21</x:f>
        <x:v>2649.346</x:v>
      </x:c>
      <x:c r="R21" s="17" t="n">
        <x:f>P21-O21</x:f>
        <x:v>2643.2744000000002</x:v>
      </x:c>
      <x:c r="S21" s="17" t="n">
        <x:f>F21-I21-J21-K21-M21</x:f>
        <x:v>2276</x:v>
      </x:c>
      <x:c r="T21" s="17" t="n">
        <x:f>(H21+N21)*'假设'!$B$16</x:f>
        <x:v>1578.616</x:v>
      </x:c>
      <x:c r="U21" s="18" t="n">
        <x:f>H21/B21</x:f>
        <x:v>0.0728592</x:v>
      </x:c>
      <x:c r="V21" s="18" t="n">
        <x:f>I21/B21</x:f>
        <x:v>0.1412</x:v>
      </x:c>
      <x:c r="W21" s="16" t="n">
        <x:v>234</x:v>
      </x:c>
      <x:c r="X21" s="16"/>
    </x:row>
    <x:row r="22">
      <x:c r="A22" s="16" t="str">
        <x:v>泰州</x:v>
      </x:c>
      <x:c r="B22" s="17" t="n">
        <x:v>5000</x:v>
      </x:c>
      <x:c r="C22" s="17" t="n">
        <x:f>MAX(B22,'假设'!$B$6)*'假设'!$B$4</x:f>
        <x:v>525</x:v>
      </x:c>
      <x:c r="D22" s="17" t="n">
        <x:f>MAX(B22,'假设'!$B$6)*'假设'!$B$5</x:f>
        <x:v>400</x:v>
      </x:c>
      <x:c r="E22" s="17" t="n">
        <x:f>LET(t,MAX(0,B22-C22-D22-'假设'!$B$7),IF(t&lt;=3000,t*0.03,IF(t&lt;=12000,t*0.1-210,IF(t&lt;=25000,t*0.2-1410,IF(t&lt;=35000,t*0.25-2660,IF(t&lt;=55000,t*0.3-4410,t*0.35-7160))))))</x:f>
        <x:v>0</x:v>
      </x:c>
      <x:c r="F22" s="17" t="n">
        <x:f>B22-C22-D22-E22</x:f>
        <x:v>4075</x:v>
      </x:c>
      <x:c r="G22" s="17" t="n">
        <x:v>17.61</x:v>
      </x:c>
      <x:c r="H22" s="17" t="n">
        <x:f>IF(X22&gt;0,X22,G22*'假设'!$B$2)</x:f>
        <x:v>454.338</x:v>
      </x:c>
      <x:c r="I22" s="17" t="n">
        <x:f>G22*'假设'!$B$3</x:f>
        <x:v>880.5</x:v>
      </x:c>
      <x:c r="J22" s="17" t="n">
        <x:v>88</x:v>
      </x:c>
      <x:c r="K22" s="17" t="n">
        <x:v>1040</x:v>
      </x:c>
      <x:c r="L22" s="17" t="n">
        <x:v>115</x:v>
      </x:c>
      <x:c r="M22" s="17" t="n">
        <x:v>177</x:v>
      </x:c>
      <x:c r="N22" s="17" t="n">
        <x:f>H22*'假设'!$B$13/'假设'!$B$14</x:f>
        <x:v>37.8615</x:v>
      </x:c>
      <x:c r="O22" s="17" t="n">
        <x:f>H22*'假设'!$B$15</x:f>
        <x:v>45.433800000000005</x:v>
      </x:c>
      <x:c r="P22" s="17" t="n">
        <x:f>F22-H22-J22-K22-L22</x:f>
        <x:v>2377.662</x:v>
      </x:c>
      <x:c r="Q22" s="17" t="n">
        <x:f>P22-N22</x:f>
        <x:v>2339.8005</x:v>
      </x:c>
      <x:c r="R22" s="17" t="n">
        <x:f>P22-O22</x:f>
        <x:v>2332.2282</x:v>
      </x:c>
      <x:c r="S22" s="17" t="n">
        <x:f>F22-I22-J22-K22-M22</x:f>
        <x:v>1889.5</x:v>
      </x:c>
      <x:c r="T22" s="17" t="n">
        <x:f>(H22+N22)*'假设'!$B$16</x:f>
        <x:v>1968.798</x:v>
      </x:c>
      <x:c r="U22" s="18" t="n">
        <x:f>H22/B22</x:f>
        <x:v>0.0908676</x:v>
      </x:c>
      <x:c r="V22" s="18" t="n">
        <x:f>I22/B22</x:f>
        <x:v>0.1761</x:v>
      </x:c>
      <x:c r="W22" s="16" t="n">
        <x:v>119</x:v>
      </x:c>
      <x:c r="X22" s="16"/>
    </x:row>
    <x:row r="23">
      <x:c r="A23" s="16" t="str">
        <x:v>衢州</x:v>
      </x:c>
      <x:c r="B23" s="17" t="n">
        <x:v>5000</x:v>
      </x:c>
      <x:c r="C23" s="17" t="n">
        <x:f>MAX(B23,'假设'!$B$6)*'假设'!$B$4</x:f>
        <x:v>525</x:v>
      </x:c>
      <x:c r="D23" s="17" t="n">
        <x:f>MAX(B23,'假设'!$B$6)*'假设'!$B$5</x:f>
        <x:v>400</x:v>
      </x:c>
      <x:c r="E23" s="17" t="n">
        <x:f>LET(t,MAX(0,B23-C23-D23-'假设'!$B$7),IF(t&lt;=3000,t*0.03,IF(t&lt;=12000,t*0.1-210,IF(t&lt;=25000,t*0.2-1410,IF(t&lt;=35000,t*0.25-2660,IF(t&lt;=55000,t*0.3-4410,t*0.35-7160))))))</x:f>
        <x:v>0</x:v>
      </x:c>
      <x:c r="F23" s="17" t="n">
        <x:f>B23-C23-D23-E23</x:f>
        <x:v>4075</x:v>
      </x:c>
      <x:c r="G23" s="17" t="n">
        <x:v>18.73</x:v>
      </x:c>
      <x:c r="H23" s="17" t="n">
        <x:f>IF(X23&gt;0,X23,G23*'假设'!$B$2)</x:f>
        <x:v>483.23400000000004</x:v>
      </x:c>
      <x:c r="I23" s="17" t="n">
        <x:f>G23*'假设'!$B$3</x:f>
        <x:v>936.5</x:v>
      </x:c>
      <x:c r="J23" s="17" t="n">
        <x:v>88</x:v>
      </x:c>
      <x:c r="K23" s="17" t="n">
        <x:v>1021</x:v>
      </x:c>
      <x:c r="L23" s="17" t="n">
        <x:v>118</x:v>
      </x:c>
      <x:c r="M23" s="17" t="n">
        <x:v>182</x:v>
      </x:c>
      <x:c r="N23" s="17" t="n">
        <x:f>H23*'假设'!$B$13/'假设'!$B$14</x:f>
        <x:v>40.2695</x:v>
      </x:c>
      <x:c r="O23" s="17" t="n">
        <x:f>H23*'假设'!$B$15</x:f>
        <x:v>48.32340000000001</x:v>
      </x:c>
      <x:c r="P23" s="17" t="n">
        <x:f>F23-H23-J23-K23-L23</x:f>
        <x:v>2364.766</x:v>
      </x:c>
      <x:c r="Q23" s="17" t="n">
        <x:f>P23-N23</x:f>
        <x:v>2324.4965</x:v>
      </x:c>
      <x:c r="R23" s="17" t="n">
        <x:f>P23-O23</x:f>
        <x:v>2316.4426</x:v>
      </x:c>
      <x:c r="S23" s="17" t="n">
        <x:f>F23-I23-J23-K23-M23</x:f>
        <x:v>1847.5</x:v>
      </x:c>
      <x:c r="T23" s="17" t="n">
        <x:f>(H23+N23)*'假设'!$B$16</x:f>
        <x:v>2094.014</x:v>
      </x:c>
      <x:c r="U23" s="18" t="n">
        <x:f>H23/B23</x:f>
        <x:v>0.0966468</x:v>
      </x:c>
      <x:c r="V23" s="18" t="n">
        <x:f>I23/B23</x:f>
        <x:v>0.1873</x:v>
      </x:c>
      <x:c r="W23" s="16" t="n">
        <x:v>104</x:v>
      </x:c>
      <x:c r="X23" s="16"/>
    </x:row>
    <x:row r="24">
      <x:c r="A24" s="16" t="str">
        <x:v>丽水</x:v>
      </x:c>
      <x:c r="B24" s="17" t="n">
        <x:v>5000</x:v>
      </x:c>
      <x:c r="C24" s="17" t="n">
        <x:f>MAX(B24,'假设'!$B$6)*'假设'!$B$4</x:f>
        <x:v>525</x:v>
      </x:c>
      <x:c r="D24" s="17" t="n">
        <x:f>MAX(B24,'假设'!$B$6)*'假设'!$B$5</x:f>
        <x:v>400</x:v>
      </x:c>
      <x:c r="E24" s="17" t="n">
        <x:f>LET(t,MAX(0,B24-C24-D24-'假设'!$B$7),IF(t&lt;=3000,t*0.03,IF(t&lt;=12000,t*0.1-210,IF(t&lt;=25000,t*0.2-1410,IF(t&lt;=35000,t*0.25-2660,IF(t&lt;=55000,t*0.3-4410,t*0.35-7160))))))</x:f>
        <x:v>0</x:v>
      </x:c>
      <x:c r="F24" s="17" t="n">
        <x:f>B24-C24-D24-E24</x:f>
        <x:v>4075</x:v>
      </x:c>
      <x:c r="G24" s="17" t="n">
        <x:v>22.7</x:v>
      </x:c>
      <x:c r="H24" s="17" t="n">
        <x:f>IF(X24&gt;0,X24,G24*'假设'!$B$2)</x:f>
        <x:v>585.66</x:v>
      </x:c>
      <x:c r="I24" s="17" t="n">
        <x:f>G24*'假设'!$B$3</x:f>
        <x:v>1135</x:v>
      </x:c>
      <x:c r="J24" s="17" t="n">
        <x:v>88</x:v>
      </x:c>
      <x:c r="K24" s="17" t="n">
        <x:v>1194</x:v>
      </x:c>
      <x:c r="L24" s="17" t="n">
        <x:v>118</x:v>
      </x:c>
      <x:c r="M24" s="17" t="n">
        <x:v>182</x:v>
      </x:c>
      <x:c r="N24" s="17" t="n">
        <x:f>H24*'假设'!$B$13/'假设'!$B$14</x:f>
        <x:v>48.805</x:v>
      </x:c>
      <x:c r="O24" s="17" t="n">
        <x:f>H24*'假设'!$B$15</x:f>
        <x:v>58.566</x:v>
      </x:c>
      <x:c r="P24" s="17" t="n">
        <x:f>F24-H24-J24-K24-L24</x:f>
        <x:v>2089.34</x:v>
      </x:c>
      <x:c r="Q24" s="17" t="n">
        <x:f>P24-N24</x:f>
        <x:v>2040.535</x:v>
      </x:c>
      <x:c r="R24" s="17" t="n">
        <x:f>P24-O24</x:f>
        <x:v>2030.7740000000001</x:v>
      </x:c>
      <x:c r="S24" s="17" t="n">
        <x:f>F24-I24-J24-K24-M24</x:f>
        <x:v>1476</x:v>
      </x:c>
      <x:c r="T24" s="17" t="n">
        <x:f>(H24+N24)*'假设'!$B$16</x:f>
        <x:v>2537.8599999999997</x:v>
      </x:c>
      <x:c r="U24" s="18" t="n">
        <x:f>H24/B24</x:f>
        <x:v>0.117132</x:v>
      </x:c>
      <x:c r="V24" s="18" t="n">
        <x:f>I24/B24</x:f>
        <x:v>0.227</x:v>
      </x:c>
      <x:c r="W24" s="16" t="n">
        <x:v>45</x:v>
      </x:c>
      <x:c r="X24" s="16"/>
    </x:row>
    <x:row r="25">
      <x:c r="A25" s="16" t="str">
        <x:v>温州</x:v>
      </x:c>
      <x:c r="B25" s="17" t="n">
        <x:v>6000</x:v>
      </x:c>
      <x:c r="C25" s="17" t="n">
        <x:f>MAX(B25,'假设'!$B$6)*'假设'!$B$4</x:f>
        <x:v>630</x:v>
      </x:c>
      <x:c r="D25" s="17" t="n">
        <x:f>MAX(B25,'假设'!$B$6)*'假设'!$B$5</x:f>
        <x:v>480</x:v>
      </x:c>
      <x:c r="E25" s="17" t="n">
        <x:f>LET(t,MAX(0,B25-C25-D25-'假设'!$B$7),IF(t&lt;=3000,t*0.03,IF(t&lt;=12000,t*0.1-210,IF(t&lt;=25000,t*0.2-1410,IF(t&lt;=35000,t*0.25-2660,IF(t&lt;=55000,t*0.3-4410,t*0.35-7160))))))</x:f>
        <x:v>0</x:v>
      </x:c>
      <x:c r="F25" s="17" t="n">
        <x:f>B25-C25-D25-E25</x:f>
        <x:v>4890</x:v>
      </x:c>
      <x:c r="G25" s="17" t="n">
        <x:v>25.52</x:v>
      </x:c>
      <x:c r="H25" s="17" t="n">
        <x:f>IF(X25&gt;0,X25,G25*'假设'!$B$2)</x:f>
        <x:v>1188</x:v>
      </x:c>
      <x:c r="I25" s="17" t="n">
        <x:f>G25*'假设'!$B$3</x:f>
        <x:v>1276</x:v>
      </x:c>
      <x:c r="J25" s="17" t="n">
        <x:v>132</x:v>
      </x:c>
      <x:c r="K25" s="17" t="n">
        <x:v>1541</x:v>
      </x:c>
      <x:c r="L25" s="17" t="n">
        <x:v>118</x:v>
      </x:c>
      <x:c r="M25" s="17" t="n">
        <x:v>182</x:v>
      </x:c>
      <x:c r="N25" s="17" t="n">
        <x:f>H25*'假设'!$B$13/'假设'!$B$14</x:f>
        <x:v>99</x:v>
      </x:c>
      <x:c r="O25" s="17" t="n">
        <x:f>H25*'假设'!$B$15</x:f>
        <x:v>118.80000000000001</x:v>
      </x:c>
      <x:c r="P25" s="17" t="n">
        <x:f>F25-H25-J25-K25-L25</x:f>
        <x:v>1911</x:v>
      </x:c>
      <x:c r="Q25" s="17" t="n">
        <x:f>P25-N25</x:f>
        <x:v>1812</x:v>
      </x:c>
      <x:c r="R25" s="17" t="n">
        <x:f>P25-O25</x:f>
        <x:v>1792.2</x:v>
      </x:c>
      <x:c r="S25" s="17" t="n">
        <x:f>F25-I25-J25-K25-M25</x:f>
        <x:v>1759</x:v>
      </x:c>
      <x:c r="T25" s="17" t="n">
        <x:f>(H25+N25)*'假设'!$B$16</x:f>
        <x:v>5148</x:v>
      </x:c>
      <x:c r="U25" s="18" t="n">
        <x:f>H25/B25</x:f>
        <x:v>0.198</x:v>
      </x:c>
      <x:c r="V25" s="18" t="n">
        <x:f>I25/B25</x:f>
        <x:v>0.21266666666666667</x:v>
      </x:c>
      <x:c r="W25" s="16" t="n">
        <x:v>28</x:v>
      </x:c>
      <x:c r="X25" s="16" t="n">
        <x:v>1188</x:v>
      </x:c>
    </x:row>
    <x:row r="26">
      <x:c r="A26" s="16" t="str">
        <x:v>舟山</x:v>
      </x:c>
      <x:c r="B26" s="17" t="n">
        <x:v>5000</x:v>
      </x:c>
      <x:c r="C26" s="17" t="n">
        <x:f>MAX(B26,'假设'!$B$6)*'假设'!$B$4</x:f>
        <x:v>525</x:v>
      </x:c>
      <x:c r="D26" s="17" t="n">
        <x:f>MAX(B26,'假设'!$B$6)*'假设'!$B$5</x:f>
        <x:v>400</x:v>
      </x:c>
      <x:c r="E26" s="17" t="n">
        <x:f>LET(t,MAX(0,B26-C26-D26-'假设'!$B$7),IF(t&lt;=3000,t*0.03,IF(t&lt;=12000,t*0.1-210,IF(t&lt;=25000,t*0.2-1410,IF(t&lt;=35000,t*0.25-2660,IF(t&lt;=55000,t*0.3-4410,t*0.35-7160))))))</x:f>
        <x:v>0</x:v>
      </x:c>
      <x:c r="F26" s="17" t="n">
        <x:f>B26-C26-D26-E26</x:f>
        <x:v>4075</x:v>
      </x:c>
      <x:c r="G26" s="17" t="n">
        <x:v>27.52</x:v>
      </x:c>
      <x:c r="H26" s="17" t="n">
        <x:f>IF(X26&gt;0,X26,G26*'假设'!$B$2)</x:f>
        <x:v>710.016</x:v>
      </x:c>
      <x:c r="I26" s="17" t="n">
        <x:f>G26*'假设'!$B$3</x:f>
        <x:v>1376</x:v>
      </x:c>
      <x:c r="J26" s="17" t="n">
        <x:v>88</x:v>
      </x:c>
      <x:c r="K26" s="17" t="n">
        <x:v>1426</x:v>
      </x:c>
      <x:c r="L26" s="17" t="n">
        <x:v>118</x:v>
      </x:c>
      <x:c r="M26" s="17" t="n">
        <x:v>182</x:v>
      </x:c>
      <x:c r="N26" s="17" t="n">
        <x:f>H26*'假设'!$B$13/'假设'!$B$14</x:f>
        <x:v>59.168</x:v>
      </x:c>
      <x:c r="O26" s="17" t="n">
        <x:f>H26*'假设'!$B$15</x:f>
        <x:v>71.0016</x:v>
      </x:c>
      <x:c r="P26" s="17" t="n">
        <x:f>F26-H26-J26-K26-L26</x:f>
        <x:v>1732.984</x:v>
      </x:c>
      <x:c r="Q26" s="17" t="n">
        <x:f>P26-N26</x:f>
        <x:v>1673.816</x:v>
      </x:c>
      <x:c r="R26" s="17" t="n">
        <x:f>P26-O26</x:f>
        <x:v>1661.9823999999999</x:v>
      </x:c>
      <x:c r="S26" s="17" t="n">
        <x:f>F26-I26-J26-K26-M26</x:f>
        <x:v>1003</x:v>
      </x:c>
      <x:c r="T26" s="17" t="n">
        <x:f>(H26+N26)*'假设'!$B$16</x:f>
        <x:v>3076.736</x:v>
      </x:c>
      <x:c r="U26" s="18" t="n">
        <x:f>H26/B26</x:f>
        <x:v>0.1420032</x:v>
      </x:c>
      <x:c r="V26" s="18" t="n">
        <x:f>I26/B26</x:f>
        <x:v>0.2752</x:v>
      </x:c>
      <x:c r="W26" s="16" t="n">
        <x:v>23</x:v>
      </x:c>
      <x:c r="X26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5" hidden="0" customWidth="1"/>
    <x:col min="4" max="4" width="15" hidden="0" customWidth="1"/>
    <x:col min="5" max="5" width="15" hidden="0" customWidth="1"/>
    <x:col min="6" max="6" width="12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34" customHeight="1">
      <x:c r="A1" s="5" t="str">
        <x:v>城市</x:v>
      </x:c>
      <x:c r="B1" s="5" t="str">
        <x:v>区县</x:v>
      </x:c>
      <x:c r="C1" s="5" t="str">
        <x:v>租金（元/㎡/月）</x:v>
      </x:c>
      <x:c r="D1" s="5" t="str">
        <x:v>合租单间（估算）</x:v>
      </x:c>
      <x:c r="E1" s="5" t="str">
        <x:v>整租一居（估算）</x:v>
      </x:c>
      <x:c r="F1" s="5" t="str">
        <x:v>电气岗位数</x:v>
      </x:c>
      <x:c r="G1" s="5" t="str">
        <x:v>月薪中位数（元）</x:v>
      </x:c>
      <x:c r="H1" s="5" t="str">
        <x:v>净结余（合租）</x:v>
      </x:c>
      <x:c r="I1" s="5" t="str">
        <x:v>净结余（整租）</x:v>
      </x:c>
    </x:row>
    <x:row r="2">
      <x:c r="A2" s="16" t="str">
        <x:v>上海</x:v>
      </x:c>
      <x:c r="B2" s="16" t="str">
        <x:v>黄浦区</x:v>
      </x:c>
      <x:c r="C2" s="21" t="n">
        <x:v>153.21</x:v>
      </x:c>
      <x:c r="D2" s="21" t="n">
        <x:f>C2*'假设'!$B$2</x:f>
        <x:v>3952.818</x:v>
      </x:c>
      <x:c r="E2" s="21" t="n">
        <x:f>C2*'假设'!$B$3</x:f>
        <x:v>7660.5</x:v>
      </x:c>
      <x:c r="F2" s="17"/>
      <x:c r="G2" s="17"/>
      <x:c r="H2" s="17"/>
      <x:c r="I2" s="17"/>
    </x:row>
    <x:row r="3">
      <x:c r="A3" s="16" t="str">
        <x:v>上海</x:v>
      </x:c>
      <x:c r="B3" s="16" t="str">
        <x:v>长宁区</x:v>
      </x:c>
      <x:c r="C3" s="21" t="n">
        <x:v>137.56</x:v>
      </x:c>
      <x:c r="D3" s="21"/>
      <x:c r="E3" s="21"/>
      <x:c r="F3" s="17"/>
      <x:c r="G3" s="17"/>
      <x:c r="H3" s="17"/>
      <x:c r="I3" s="17"/>
    </x:row>
    <x:row r="4">
      <x:c r="A4" s="16" t="str">
        <x:v>上海</x:v>
      </x:c>
      <x:c r="B4" s="16" t="str">
        <x:v>静安区</x:v>
      </x:c>
      <x:c r="C4" s="21" t="n">
        <x:v>125.65</x:v>
      </x:c>
      <x:c r="D4" s="21"/>
      <x:c r="E4" s="21"/>
      <x:c r="F4" s="17"/>
      <x:c r="G4" s="17"/>
      <x:c r="H4" s="17"/>
      <x:c r="I4" s="17"/>
    </x:row>
    <x:row r="5">
      <x:c r="A5" s="16" t="str">
        <x:v>上海</x:v>
      </x:c>
      <x:c r="B5" s="16" t="str">
        <x:v>徐汇区</x:v>
      </x:c>
      <x:c r="C5" s="21" t="n">
        <x:v>122.54</x:v>
      </x:c>
      <x:c r="D5" s="21"/>
      <x:c r="E5" s="21"/>
      <x:c r="F5" s="17"/>
      <x:c r="G5" s="17"/>
      <x:c r="H5" s="17"/>
      <x:c r="I5" s="17"/>
    </x:row>
    <x:row r="6">
      <x:c r="A6" s="16" t="str">
        <x:v>上海</x:v>
      </x:c>
      <x:c r="B6" s="16" t="str">
        <x:v>虹口区</x:v>
      </x:c>
      <x:c r="C6" s="21" t="n">
        <x:v>111.07</x:v>
      </x:c>
      <x:c r="D6" s="21"/>
      <x:c r="E6" s="21"/>
      <x:c r="F6" s="17"/>
      <x:c r="G6" s="17"/>
      <x:c r="H6" s="17"/>
      <x:c r="I6" s="17"/>
    </x:row>
    <x:row r="7">
      <x:c r="A7" s="16" t="str">
        <x:v>上海</x:v>
      </x:c>
      <x:c r="B7" s="16" t="str">
        <x:v>杨浦区</x:v>
      </x:c>
      <x:c r="C7" s="21" t="n">
        <x:v>110.26</x:v>
      </x:c>
      <x:c r="D7" s="21"/>
      <x:c r="E7" s="21"/>
      <x:c r="F7" s="17"/>
      <x:c r="G7" s="17"/>
      <x:c r="H7" s="17"/>
      <x:c r="I7" s="17"/>
    </x:row>
    <x:row r="8">
      <x:c r="A8" s="16" t="str">
        <x:v>上海</x:v>
      </x:c>
      <x:c r="B8" s="16" t="str">
        <x:v>普陀区</x:v>
      </x:c>
      <x:c r="C8" s="21" t="n">
        <x:v>109.54</x:v>
      </x:c>
      <x:c r="D8" s="21"/>
      <x:c r="E8" s="21"/>
      <x:c r="F8" s="17"/>
      <x:c r="G8" s="17"/>
      <x:c r="H8" s="17"/>
      <x:c r="I8" s="17"/>
    </x:row>
    <x:row r="9">
      <x:c r="A9" s="16" t="str">
        <x:v>上海</x:v>
      </x:c>
      <x:c r="B9" s="16" t="str">
        <x:v>浦东新区</x:v>
      </x:c>
      <x:c r="C9" s="21" t="n">
        <x:v>97</x:v>
      </x:c>
      <x:c r="D9" s="21"/>
      <x:c r="E9" s="21"/>
      <x:c r="F9" s="17"/>
      <x:c r="G9" s="17"/>
      <x:c r="H9" s="17"/>
      <x:c r="I9" s="17"/>
    </x:row>
    <x:row r="10">
      <x:c r="A10" s="16" t="str">
        <x:v>上海</x:v>
      </x:c>
      <x:c r="B10" s="16" t="str">
        <x:v>闵行区</x:v>
      </x:c>
      <x:c r="C10" s="21" t="n">
        <x:v>84.51</x:v>
      </x:c>
      <x:c r="D10" s="21"/>
      <x:c r="E10" s="21"/>
      <x:c r="F10" s="17"/>
      <x:c r="G10" s="17"/>
      <x:c r="H10" s="17"/>
      <x:c r="I10" s="17"/>
    </x:row>
    <x:row r="11">
      <x:c r="A11" s="16" t="str">
        <x:v>上海</x:v>
      </x:c>
      <x:c r="B11" s="16" t="str">
        <x:v>宝山区</x:v>
      </x:c>
      <x:c r="C11" s="21" t="n">
        <x:v>77.74</x:v>
      </x:c>
      <x:c r="D11" s="21"/>
      <x:c r="E11" s="21"/>
      <x:c r="F11" s="17"/>
      <x:c r="G11" s="17"/>
      <x:c r="H11" s="17"/>
      <x:c r="I11" s="17"/>
    </x:row>
    <x:row r="12">
      <x:c r="A12" s="16" t="str">
        <x:v>南京</x:v>
      </x:c>
      <x:c r="B12" s="16" t="str">
        <x:v>建邺区</x:v>
      </x:c>
      <x:c r="C12" s="21" t="n">
        <x:v>56.51</x:v>
      </x:c>
      <x:c r="D12" s="21"/>
      <x:c r="E12" s="21"/>
      <x:c r="F12" s="17"/>
      <x:c r="G12" s="17"/>
      <x:c r="H12" s="17"/>
      <x:c r="I12" s="17"/>
    </x:row>
    <x:row r="13">
      <x:c r="A13" s="16" t="str">
        <x:v>南京</x:v>
      </x:c>
      <x:c r="B13" s="16" t="str">
        <x:v>秦淮区</x:v>
      </x:c>
      <x:c r="C13" s="21" t="n">
        <x:v>55.02</x:v>
      </x:c>
      <x:c r="D13" s="21"/>
      <x:c r="E13" s="21"/>
      <x:c r="F13" s="17"/>
      <x:c r="G13" s="17"/>
      <x:c r="H13" s="17"/>
      <x:c r="I13" s="17"/>
    </x:row>
    <x:row r="14">
      <x:c r="A14" s="16" t="str">
        <x:v>南京</x:v>
      </x:c>
      <x:c r="B14" s="16" t="str">
        <x:v>玄武区</x:v>
      </x:c>
      <x:c r="C14" s="21" t="n">
        <x:v>54.13</x:v>
      </x:c>
      <x:c r="D14" s="21"/>
      <x:c r="E14" s="21"/>
      <x:c r="F14" s="17"/>
      <x:c r="G14" s="17"/>
      <x:c r="H14" s="17"/>
      <x:c r="I14" s="17"/>
    </x:row>
    <x:row r="15">
      <x:c r="A15" s="16" t="str">
        <x:v>南京</x:v>
      </x:c>
      <x:c r="B15" s="16" t="str">
        <x:v>鼓楼区</x:v>
      </x:c>
      <x:c r="C15" s="21" t="n">
        <x:v>51.89</x:v>
      </x:c>
      <x:c r="D15" s="21"/>
      <x:c r="E15" s="21"/>
      <x:c r="F15" s="17"/>
      <x:c r="G15" s="17"/>
      <x:c r="H15" s="17"/>
      <x:c r="I15" s="17"/>
    </x:row>
    <x:row r="16">
      <x:c r="A16" s="16" t="str">
        <x:v>南京</x:v>
      </x:c>
      <x:c r="B16" s="16" t="str">
        <x:v>雨花台区</x:v>
      </x:c>
      <x:c r="C16" s="21" t="n">
        <x:v>48.68</x:v>
      </x:c>
      <x:c r="D16" s="21"/>
      <x:c r="E16" s="21"/>
      <x:c r="F16" s="17"/>
      <x:c r="G16" s="17"/>
      <x:c r="H16" s="17"/>
      <x:c r="I16" s="17"/>
    </x:row>
    <x:row r="17">
      <x:c r="A17" s="16" t="str">
        <x:v>南京</x:v>
      </x:c>
      <x:c r="B17" s="16" t="str">
        <x:v>江宁区</x:v>
      </x:c>
      <x:c r="C17" s="21" t="n">
        <x:v>41.6</x:v>
      </x:c>
      <x:c r="D17" s="21"/>
      <x:c r="E17" s="21"/>
      <x:c r="F17" s="17"/>
      <x:c r="G17" s="17"/>
      <x:c r="H17" s="17"/>
      <x:c r="I17" s="17"/>
    </x:row>
    <x:row r="18">
      <x:c r="A18" s="16" t="str">
        <x:v>南京</x:v>
      </x:c>
      <x:c r="B18" s="16" t="str">
        <x:v>栖霞区</x:v>
      </x:c>
      <x:c r="C18" s="21" t="n">
        <x:v>40.87</x:v>
      </x:c>
      <x:c r="D18" s="21"/>
      <x:c r="E18" s="21"/>
      <x:c r="F18" s="17"/>
      <x:c r="G18" s="17"/>
      <x:c r="H18" s="17"/>
      <x:c r="I18" s="17"/>
    </x:row>
    <x:row r="19">
      <x:c r="A19" s="16" t="str">
        <x:v>南京</x:v>
      </x:c>
      <x:c r="B19" s="16" t="str">
        <x:v>浦口区</x:v>
      </x:c>
      <x:c r="C19" s="21" t="n">
        <x:v>28.68</x:v>
      </x:c>
      <x:c r="D19" s="21"/>
      <x:c r="E19" s="21"/>
      <x:c r="F19" s="17"/>
      <x:c r="G19" s="17"/>
      <x:c r="H19" s="17"/>
      <x:c r="I19" s="17"/>
    </x:row>
    <x:row r="20">
      <x:c r="A20" s="16" t="str">
        <x:v>南京</x:v>
      </x:c>
      <x:c r="B20" s="16" t="str">
        <x:v>六合区</x:v>
      </x:c>
      <x:c r="C20" s="21" t="n">
        <x:v>17.7</x:v>
      </x:c>
      <x:c r="D20" s="21"/>
      <x:c r="E20" s="21"/>
      <x:c r="F20" s="17"/>
      <x:c r="G20" s="17"/>
      <x:c r="H20" s="17"/>
      <x:c r="I20" s="17"/>
    </x:row>
    <x:row r="21">
      <x:c r="A21" s="16" t="str">
        <x:v>南京</x:v>
      </x:c>
      <x:c r="B21" s="16" t="str">
        <x:v>高淳区</x:v>
      </x:c>
      <x:c r="C21" s="21" t="n">
        <x:v>14.65</x:v>
      </x:c>
      <x:c r="D21" s="21"/>
      <x:c r="E21" s="21"/>
      <x:c r="F21" s="17"/>
      <x:c r="G21" s="17"/>
      <x:c r="H21" s="17"/>
      <x:c r="I21" s="17"/>
    </x:row>
    <x:row r="22">
      <x:c r="A22" s="16" t="str">
        <x:v>苏州</x:v>
      </x:c>
      <x:c r="B22" s="16" t="str">
        <x:v>工业园区</x:v>
      </x:c>
      <x:c r="C22" s="21" t="n">
        <x:v>42.51</x:v>
      </x:c>
      <x:c r="D22" s="21"/>
      <x:c r="E22" s="21"/>
      <x:c r="F22" s="17"/>
      <x:c r="G22" s="17"/>
      <x:c r="H22" s="17"/>
      <x:c r="I22" s="17"/>
    </x:row>
    <x:row r="23">
      <x:c r="A23" s="16" t="str">
        <x:v>苏州</x:v>
      </x:c>
      <x:c r="B23" s="16" t="str">
        <x:v>姑苏区</x:v>
      </x:c>
      <x:c r="C23" s="21" t="n">
        <x:v>39.2</x:v>
      </x:c>
      <x:c r="D23" s="21"/>
      <x:c r="E23" s="21"/>
      <x:c r="F23" s="17"/>
      <x:c r="G23" s="17"/>
      <x:c r="H23" s="17"/>
      <x:c r="I23" s="17"/>
    </x:row>
    <x:row r="24">
      <x:c r="A24" s="16" t="str">
        <x:v>苏州</x:v>
      </x:c>
      <x:c r="B24" s="16" t="str">
        <x:v>虎丘区</x:v>
      </x:c>
      <x:c r="C24" s="21" t="n">
        <x:v>34.95</x:v>
      </x:c>
      <x:c r="D24" s="21"/>
      <x:c r="E24" s="21"/>
      <x:c r="F24" s="17"/>
      <x:c r="G24" s="17"/>
      <x:c r="H24" s="17"/>
      <x:c r="I24" s="17"/>
    </x:row>
    <x:row r="25">
      <x:c r="A25" s="16" t="str">
        <x:v>苏州</x:v>
      </x:c>
      <x:c r="B25" s="16" t="str">
        <x:v>吴中区</x:v>
      </x:c>
      <x:c r="C25" s="21" t="n">
        <x:v>34.14</x:v>
      </x:c>
      <x:c r="D25" s="21"/>
      <x:c r="E25" s="21"/>
      <x:c r="F25" s="17"/>
      <x:c r="G25" s="17"/>
      <x:c r="H25" s="17"/>
      <x:c r="I25" s="17"/>
    </x:row>
    <x:row r="26">
      <x:c r="A26" s="16" t="str">
        <x:v>苏州</x:v>
      </x:c>
      <x:c r="B26" s="16" t="str">
        <x:v>相城区</x:v>
      </x:c>
      <x:c r="C26" s="21" t="n">
        <x:v>33.86</x:v>
      </x:c>
      <x:c r="D26" s="21"/>
      <x:c r="E26" s="21"/>
      <x:c r="F26" s="17"/>
      <x:c r="G26" s="17"/>
      <x:c r="H26" s="17"/>
      <x:c r="I26" s="17"/>
    </x:row>
    <x:row r="27">
      <x:c r="A27" s="16" t="str">
        <x:v>苏州</x:v>
      </x:c>
      <x:c r="B27" s="16" t="str">
        <x:v>吴江区</x:v>
      </x:c>
      <x:c r="C27" s="21" t="n">
        <x:v>26.73</x:v>
      </x:c>
      <x:c r="D27" s="21"/>
      <x:c r="E27" s="21"/>
      <x:c r="F27" s="17"/>
      <x:c r="G27" s="17"/>
      <x:c r="H27" s="17"/>
      <x:c r="I27" s="17"/>
    </x:row>
    <x:row r="28">
      <x:c r="A28" s="16" t="str">
        <x:v>杭州</x:v>
      </x:c>
      <x:c r="B28" s="16" t="str">
        <x:v>滨江区</x:v>
      </x:c>
      <x:c r="C28" s="21" t="n">
        <x:v>64.59</x:v>
      </x:c>
      <x:c r="D28" s="21"/>
      <x:c r="E28" s="21"/>
      <x:c r="F28" s="17"/>
      <x:c r="G28" s="17"/>
      <x:c r="H28" s="17"/>
      <x:c r="I28" s="17"/>
    </x:row>
    <x:row r="29">
      <x:c r="A29" s="16" t="str">
        <x:v>杭州</x:v>
      </x:c>
      <x:c r="B29" s="16" t="str">
        <x:v>上城区</x:v>
      </x:c>
      <x:c r="C29" s="21" t="n">
        <x:v>60.64</x:v>
      </x:c>
      <x:c r="D29" s="21"/>
      <x:c r="E29" s="21"/>
      <x:c r="F29" s="17"/>
      <x:c r="G29" s="17"/>
      <x:c r="H29" s="17"/>
      <x:c r="I29" s="17"/>
    </x:row>
    <x:row r="30">
      <x:c r="A30" s="16" t="str">
        <x:v>杭州</x:v>
      </x:c>
      <x:c r="B30" s="16" t="str">
        <x:v>拱墅区</x:v>
      </x:c>
      <x:c r="C30" s="21" t="n">
        <x:v>57.82</x:v>
      </x:c>
      <x:c r="D30" s="21"/>
      <x:c r="E30" s="21"/>
      <x:c r="F30" s="17"/>
      <x:c r="G30" s="17"/>
      <x:c r="H30" s="17"/>
      <x:c r="I30" s="17"/>
    </x:row>
    <x:row r="31">
      <x:c r="A31" s="16" t="str">
        <x:v>杭州</x:v>
      </x:c>
      <x:c r="B31" s="16" t="str">
        <x:v>西湖区</x:v>
      </x:c>
      <x:c r="C31" s="21" t="n">
        <x:v>55.47</x:v>
      </x:c>
      <x:c r="D31" s="21"/>
      <x:c r="E31" s="21"/>
      <x:c r="F31" s="17"/>
      <x:c r="G31" s="17"/>
      <x:c r="H31" s="17"/>
      <x:c r="I31" s="17"/>
    </x:row>
    <x:row r="32">
      <x:c r="A32" s="16" t="str">
        <x:v>杭州</x:v>
      </x:c>
      <x:c r="B32" s="16" t="str">
        <x:v>萧山区</x:v>
      </x:c>
      <x:c r="C32" s="21" t="n">
        <x:v>54.93</x:v>
      </x:c>
      <x:c r="D32" s="21"/>
      <x:c r="E32" s="21"/>
      <x:c r="F32" s="17"/>
      <x:c r="G32" s="17"/>
      <x:c r="H32" s="17"/>
      <x:c r="I32" s="17"/>
    </x:row>
    <x:row r="33">
      <x:c r="A33" s="16" t="str">
        <x:v>杭州</x:v>
      </x:c>
      <x:c r="B33" s="16" t="str">
        <x:v>余杭区</x:v>
      </x:c>
      <x:c r="C33" s="21" t="n">
        <x:v>47.76</x:v>
      </x:c>
      <x:c r="D33" s="21"/>
      <x:c r="E33" s="21"/>
      <x:c r="F33" s="17"/>
      <x:c r="G33" s="17"/>
      <x:c r="H33" s="17"/>
      <x:c r="I33" s="17"/>
    </x:row>
    <x:row r="34">
      <x:c r="A34" s="16" t="str">
        <x:v>杭州</x:v>
      </x:c>
      <x:c r="B34" s="16" t="str">
        <x:v>钱塘区</x:v>
      </x:c>
      <x:c r="C34" s="21" t="n">
        <x:v>45.02</x:v>
      </x:c>
      <x:c r="D34" s="21"/>
      <x:c r="E34" s="21"/>
      <x:c r="F34" s="17"/>
      <x:c r="G34" s="17"/>
      <x:c r="H34" s="17"/>
      <x:c r="I34" s="17"/>
    </x:row>
    <x:row r="35">
      <x:c r="A35" s="16" t="str">
        <x:v>杭州</x:v>
      </x:c>
      <x:c r="B35" s="16" t="str">
        <x:v>临平区</x:v>
      </x:c>
      <x:c r="C35" s="21" t="n">
        <x:v>30.68</x:v>
      </x:c>
      <x:c r="D35" s="21"/>
      <x:c r="E35" s="21"/>
      <x:c r="F35" s="17"/>
      <x:c r="G35" s="17"/>
      <x:c r="H35" s="17"/>
      <x:c r="I35" s="17"/>
    </x:row>
    <x:row r="36">
      <x:c r="A36" s="16" t="str">
        <x:v>杭州</x:v>
      </x:c>
      <x:c r="B36" s="16" t="str">
        <x:v>富阳区</x:v>
      </x:c>
      <x:c r="C36" s="21" t="n">
        <x:v>26.73</x:v>
      </x:c>
      <x:c r="D36" s="21"/>
      <x:c r="E36" s="21"/>
      <x:c r="F36" s="17"/>
      <x:c r="G36" s="17"/>
      <x:c r="H36" s="17"/>
      <x:c r="I36" s="17"/>
    </x:row>
    <x:row r="37">
      <x:c r="A37" s="16" t="str">
        <x:v>杭州</x:v>
      </x:c>
      <x:c r="B37" s="16" t="str">
        <x:v>临安区</x:v>
      </x:c>
      <x:c r="C37" s="21" t="n">
        <x:v>23.56</x:v>
      </x:c>
      <x:c r="D37" s="21"/>
      <x:c r="E37" s="21"/>
      <x:c r="F37" s="17"/>
      <x:c r="G37" s="17"/>
      <x:c r="H37" s="17"/>
      <x:c r="I37" s="17"/>
    </x:row>
    <x:row r="38">
      <x:c r="A38" s="16" t="str">
        <x:v>宁波</x:v>
      </x:c>
      <x:c r="B38" s="16" t="str">
        <x:v>鄞州区</x:v>
      </x:c>
      <x:c r="C38" s="21" t="n">
        <x:v>35.44</x:v>
      </x:c>
      <x:c r="D38" s="21"/>
      <x:c r="E38" s="21"/>
      <x:c r="F38" s="17"/>
      <x:c r="G38" s="17"/>
      <x:c r="H38" s="17"/>
      <x:c r="I38" s="17"/>
    </x:row>
    <x:row r="39">
      <x:c r="A39" s="16" t="str">
        <x:v>宁波</x:v>
      </x:c>
      <x:c r="B39" s="16" t="str">
        <x:v>江北区</x:v>
      </x:c>
      <x:c r="C39" s="21" t="n">
        <x:v>32.71</x:v>
      </x:c>
      <x:c r="D39" s="21"/>
      <x:c r="E39" s="21"/>
      <x:c r="F39" s="17"/>
      <x:c r="G39" s="17"/>
      <x:c r="H39" s="17"/>
      <x:c r="I39" s="17"/>
    </x:row>
    <x:row r="40">
      <x:c r="A40" s="16" t="str">
        <x:v>宁波</x:v>
      </x:c>
      <x:c r="B40" s="16" t="str">
        <x:v>海曙区</x:v>
      </x:c>
      <x:c r="C40" s="21" t="n">
        <x:v>31.14</x:v>
      </x:c>
      <x:c r="D40" s="21"/>
      <x:c r="E40" s="21"/>
      <x:c r="F40" s="17"/>
      <x:c r="G40" s="17"/>
      <x:c r="H40" s="17"/>
      <x:c r="I40" s="17"/>
    </x:row>
    <x:row r="41">
      <x:c r="A41" s="16" t="str">
        <x:v>宁波</x:v>
      </x:c>
      <x:c r="B41" s="16" t="str">
        <x:v>镇海区</x:v>
      </x:c>
      <x:c r="C41" s="21" t="n">
        <x:v>29.43</x:v>
      </x:c>
      <x:c r="D41" s="21"/>
      <x:c r="E41" s="21"/>
      <x:c r="F41" s="17"/>
      <x:c r="G41" s="17"/>
      <x:c r="H41" s="17"/>
      <x:c r="I41" s="17"/>
    </x:row>
    <x:row r="42">
      <x:c r="A42" s="16" t="str">
        <x:v>宁波</x:v>
      </x:c>
      <x:c r="B42" s="16" t="str">
        <x:v>北仑区</x:v>
      </x:c>
      <x:c r="C42" s="21" t="n">
        <x:v>28.8</x:v>
      </x:c>
      <x:c r="D42" s="21"/>
      <x:c r="E42" s="21"/>
      <x:c r="F42" s="17"/>
      <x:c r="G42" s="17"/>
      <x:c r="H42" s="17"/>
      <x:c r="I42" s="17"/>
    </x:row>
    <x:row r="43">
      <x:c r="A43" s="16" t="str">
        <x:v>宁波</x:v>
      </x:c>
      <x:c r="B43" s="16" t="str">
        <x:v>奉化区</x:v>
      </x:c>
      <x:c r="C43" s="21" t="n">
        <x:v>23</x:v>
      </x:c>
      <x:c r="D43" s="21"/>
      <x:c r="E43" s="21"/>
      <x:c r="F43" s="17"/>
      <x:c r="G43" s="17"/>
      <x:c r="H43" s="17"/>
      <x:c r="I43" s="17"/>
    </x:row>
    <x:row r="44">
      <x:c r="A44" s="16" t="str">
        <x:v>绍兴</x:v>
      </x:c>
      <x:c r="B44" s="16" t="str">
        <x:v>柯桥区</x:v>
      </x:c>
      <x:c r="C44" s="21" t="n">
        <x:v>28.89</x:v>
      </x:c>
      <x:c r="D44" s="21"/>
      <x:c r="E44" s="21"/>
      <x:c r="F44" s="17"/>
      <x:c r="G44" s="17"/>
      <x:c r="H44" s="17"/>
      <x:c r="I44" s="17"/>
    </x:row>
    <x:row r="45">
      <x:c r="A45" s="16" t="str">
        <x:v>绍兴</x:v>
      </x:c>
      <x:c r="B45" s="16" t="str">
        <x:v>上虞区</x:v>
      </x:c>
      <x:c r="C45" s="21" t="n">
        <x:v>25.9</x:v>
      </x:c>
      <x:c r="D45" s="21"/>
      <x:c r="E45" s="21"/>
      <x:c r="F45" s="17"/>
      <x:c r="G45" s="17"/>
      <x:c r="H45" s="17"/>
      <x:c r="I45" s="17"/>
    </x:row>
    <x:row r="46">
      <x:c r="A46" s="16" t="str">
        <x:v>绍兴</x:v>
      </x:c>
      <x:c r="B46" s="16" t="str">
        <x:v>越城区</x:v>
      </x:c>
      <x:c r="C46" s="21" t="n">
        <x:v>25.81</x:v>
      </x:c>
      <x:c r="D46" s="21"/>
      <x:c r="E46" s="21"/>
      <x:c r="F46" s="17"/>
      <x:c r="G46" s="17"/>
      <x:c r="H46" s="17"/>
      <x:c r="I46" s="17"/>
    </x:row>
    <x:row r="47">
      <x:c r="A47" s="16" t="str">
        <x:v>南通</x:v>
      </x:c>
      <x:c r="B47" s="16" t="str">
        <x:v>崇川区</x:v>
      </x:c>
      <x:c r="C47" s="21" t="n">
        <x:v>22.33</x:v>
      </x:c>
      <x:c r="D47" s="21"/>
      <x:c r="E47" s="21"/>
      <x:c r="F47" s="17"/>
      <x:c r="G47" s="17"/>
      <x:c r="H47" s="17"/>
      <x:c r="I47" s="17"/>
    </x:row>
    <x:row r="48">
      <x:c r="A48" s="16" t="str">
        <x:v>南通</x:v>
      </x:c>
      <x:c r="B48" s="16" t="str">
        <x:v>开发区</x:v>
      </x:c>
      <x:c r="C48" s="21" t="n">
        <x:v>19.14</x:v>
      </x:c>
      <x:c r="D48" s="21"/>
      <x:c r="E48" s="21"/>
      <x:c r="F48" s="17"/>
      <x:c r="G48" s="17"/>
      <x:c r="H48" s="17"/>
      <x:c r="I48" s="17"/>
    </x:row>
    <x:row r="49">
      <x:c r="A49" s="16" t="str">
        <x:v>南通</x:v>
      </x:c>
      <x:c r="B49" s="16" t="str">
        <x:v>海门区</x:v>
      </x:c>
      <x:c r="C49" s="21" t="n">
        <x:v>18.56</x:v>
      </x:c>
      <x:c r="D49" s="21"/>
      <x:c r="E49" s="21"/>
      <x:c r="F49" s="17"/>
      <x:c r="G49" s="17"/>
      <x:c r="H49" s="17"/>
      <x:c r="I49" s="17"/>
    </x:row>
    <x:row r="50">
      <x:c r="A50" s="16" t="str">
        <x:v>南通</x:v>
      </x:c>
      <x:c r="B50" s="16" t="str">
        <x:v>通州区</x:v>
      </x:c>
      <x:c r="C50" s="21" t="n">
        <x:v>17.18</x:v>
      </x:c>
      <x:c r="D50" s="21"/>
      <x:c r="E50" s="21"/>
      <x:c r="F50" s="17"/>
      <x:c r="G50" s="17"/>
      <x:c r="H50" s="17"/>
      <x:c r="I50" s="17"/>
    </x:row>
    <x:row r="51">
      <x:c r="A51" s="16" t="str">
        <x:v>扬州</x:v>
      </x:c>
      <x:c r="B51" s="16" t="str">
        <x:v>邗江区</x:v>
      </x:c>
      <x:c r="C51" s="21" t="n">
        <x:v>21.49</x:v>
      </x:c>
      <x:c r="D51" s="21"/>
      <x:c r="E51" s="21"/>
      <x:c r="F51" s="17"/>
      <x:c r="G51" s="17"/>
      <x:c r="H51" s="17"/>
      <x:c r="I51" s="17"/>
    </x:row>
    <x:row r="52">
      <x:c r="A52" s="16" t="str">
        <x:v>扬州</x:v>
      </x:c>
      <x:c r="B52" s="16" t="str">
        <x:v>广陵区</x:v>
      </x:c>
      <x:c r="C52" s="21" t="n">
        <x:v>20.61</x:v>
      </x:c>
      <x:c r="D52" s="21"/>
      <x:c r="E52" s="21"/>
      <x:c r="F52" s="17"/>
      <x:c r="G52" s="17"/>
      <x:c r="H52" s="17"/>
      <x:c r="I52" s="17"/>
    </x:row>
    <x:row r="53">
      <x:c r="A53" s="16" t="str">
        <x:v>扬州</x:v>
      </x:c>
      <x:c r="B53" s="16" t="str">
        <x:v>江都区</x:v>
      </x:c>
      <x:c r="C53" s="21" t="n">
        <x:v>19.77</x:v>
      </x:c>
      <x:c r="D53" s="21"/>
      <x:c r="E53" s="21"/>
      <x:c r="F53" s="17"/>
      <x:c r="G53" s="17"/>
      <x:c r="H53" s="17"/>
      <x:c r="I53" s="17"/>
    </x:row>
    <x:row r="54">
      <x:c r="A54" s="16" t="str">
        <x:v>无锡</x:v>
      </x:c>
      <x:c r="B54" s="16" t="str">
        <x:v>新吴区</x:v>
      </x:c>
      <x:c r="C54" s="21" t="n">
        <x:v>30.06</x:v>
      </x:c>
      <x:c r="D54" s="21"/>
      <x:c r="E54" s="21"/>
      <x:c r="F54" s="17"/>
      <x:c r="G54" s="17"/>
      <x:c r="H54" s="17"/>
      <x:c r="I54" s="17"/>
    </x:row>
    <x:row r="55">
      <x:c r="A55" s="16" t="str">
        <x:v>无锡</x:v>
      </x:c>
      <x:c r="B55" s="16" t="str">
        <x:v>梁溪区</x:v>
      </x:c>
      <x:c r="C55" s="21" t="n">
        <x:v>29.96</x:v>
      </x:c>
      <x:c r="D55" s="21"/>
      <x:c r="E55" s="21"/>
      <x:c r="F55" s="17"/>
      <x:c r="G55" s="17"/>
      <x:c r="H55" s="17"/>
      <x:c r="I55" s="17"/>
    </x:row>
    <x:row r="56">
      <x:c r="A56" s="16" t="str">
        <x:v>无锡</x:v>
      </x:c>
      <x:c r="B56" s="16" t="str">
        <x:v>滨湖区</x:v>
      </x:c>
      <x:c r="C56" s="21" t="n">
        <x:v>29.4</x:v>
      </x:c>
      <x:c r="D56" s="21"/>
      <x:c r="E56" s="21"/>
      <x:c r="F56" s="17"/>
      <x:c r="G56" s="17"/>
      <x:c r="H56" s="17"/>
      <x:c r="I56" s="17"/>
    </x:row>
    <x:row r="57">
      <x:c r="A57" s="16" t="str">
        <x:v>无锡</x:v>
      </x:c>
      <x:c r="B57" s="16" t="str">
        <x:v>锡山区</x:v>
      </x:c>
      <x:c r="C57" s="21" t="n">
        <x:v>28.86</x:v>
      </x:c>
      <x:c r="D57" s="21"/>
      <x:c r="E57" s="21"/>
      <x:c r="F57" s="17"/>
      <x:c r="G57" s="17"/>
      <x:c r="H57" s="17"/>
      <x:c r="I57" s="17"/>
    </x:row>
    <x:row r="58">
      <x:c r="A58" s="16" t="str">
        <x:v>无锡</x:v>
      </x:c>
      <x:c r="B58" s="16" t="str">
        <x:v>惠山区</x:v>
      </x:c>
      <x:c r="C58" s="21" t="n">
        <x:v>24.92</x:v>
      </x:c>
      <x:c r="D58" s="21"/>
      <x:c r="E58" s="21"/>
      <x:c r="F58" s="17"/>
      <x:c r="G58" s="17"/>
      <x:c r="H58" s="17"/>
      <x:c r="I58" s="17"/>
    </x:row>
    <x:row r="59">
      <x:c r="A59" s="16" t="str">
        <x:v>镇江</x:v>
      </x:c>
      <x:c r="B59" s="16" t="str">
        <x:v>京口区</x:v>
      </x:c>
      <x:c r="C59" s="21" t="n">
        <x:v>17.68</x:v>
      </x:c>
      <x:c r="D59" s="21"/>
      <x:c r="E59" s="21"/>
      <x:c r="F59" s="17"/>
      <x:c r="G59" s="17"/>
      <x:c r="H59" s="17"/>
      <x:c r="I59" s="17"/>
    </x:row>
    <x:row r="60">
      <x:c r="A60" s="16" t="str">
        <x:v>镇江</x:v>
      </x:c>
      <x:c r="B60" s="16" t="str">
        <x:v>润州区</x:v>
      </x:c>
      <x:c r="C60" s="21" t="n">
        <x:v>17.34</x:v>
      </x:c>
      <x:c r="D60" s="21"/>
      <x:c r="E60" s="21"/>
      <x:c r="F60" s="17"/>
      <x:c r="G60" s="17"/>
      <x:c r="H60" s="17"/>
      <x:c r="I60" s="17"/>
    </x:row>
    <x:row r="61">
      <x:c r="A61" s="16" t="str">
        <x:v>镇江</x:v>
      </x:c>
      <x:c r="B61" s="16" t="str">
        <x:v>镇江新区</x:v>
      </x:c>
      <x:c r="C61" s="21" t="n">
        <x:v>17.03</x:v>
      </x:c>
      <x:c r="D61" s="21"/>
      <x:c r="E61" s="21"/>
      <x:c r="F61" s="17"/>
      <x:c r="G61" s="17"/>
      <x:c r="H61" s="17"/>
      <x:c r="I61" s="17"/>
    </x:row>
    <x:row r="62">
      <x:c r="A62" s="16" t="str">
        <x:v>镇江</x:v>
      </x:c>
      <x:c r="B62" s="16" t="str">
        <x:v>丹徒区</x:v>
      </x:c>
      <x:c r="C62" s="21" t="n">
        <x:v>14.21</x:v>
      </x:c>
      <x:c r="D62" s="21"/>
      <x:c r="E62" s="21"/>
      <x:c r="F62" s="17"/>
      <x:c r="G62" s="17"/>
      <x:c r="H62" s="17"/>
      <x:c r="I62" s="17"/>
    </x:row>
    <x:row r="63">
      <x:c r="A63" s="16" t="str">
        <x:v>泰州</x:v>
      </x:c>
      <x:c r="B63" s="16" t="str">
        <x:v>海陵区</x:v>
      </x:c>
      <x:c r="C63" s="21" t="n">
        <x:v>18.57</x:v>
      </x:c>
      <x:c r="D63" s="21"/>
      <x:c r="E63" s="21"/>
      <x:c r="F63" s="17"/>
      <x:c r="G63" s="17"/>
      <x:c r="H63" s="17"/>
      <x:c r="I63" s="17"/>
    </x:row>
    <x:row r="64">
      <x:c r="A64" s="16" t="str">
        <x:v>泰州</x:v>
      </x:c>
      <x:c r="B64" s="16" t="str">
        <x:v>姜堰区</x:v>
      </x:c>
      <x:c r="C64" s="21" t="n">
        <x:v>16.74</x:v>
      </x:c>
      <x:c r="D64" s="21"/>
      <x:c r="E64" s="21"/>
      <x:c r="F64" s="17"/>
      <x:c r="G64" s="17"/>
      <x:c r="H64" s="17"/>
      <x:c r="I64" s="17"/>
    </x:row>
    <x:row r="65">
      <x:c r="A65" s="16" t="str">
        <x:v>温州</x:v>
      </x:c>
      <x:c r="B65" s="16" t="str">
        <x:v>鹿城区</x:v>
      </x:c>
      <x:c r="C65" s="21" t="n">
        <x:v>26.35</x:v>
      </x:c>
      <x:c r="D65" s="21"/>
      <x:c r="E65" s="21"/>
      <x:c r="F65" s="17"/>
      <x:c r="G65" s="17"/>
      <x:c r="H65" s="17"/>
      <x:c r="I65" s="17"/>
    </x:row>
    <x:row r="66">
      <x:c r="A66" s="16" t="str">
        <x:v>温州</x:v>
      </x:c>
      <x:c r="B66" s="16" t="str">
        <x:v>瓯海区</x:v>
      </x:c>
      <x:c r="C66" s="21" t="n">
        <x:v>25.93</x:v>
      </x:c>
      <x:c r="D66" s="21"/>
      <x:c r="E66" s="21"/>
      <x:c r="F66" s="17"/>
      <x:c r="G66" s="17"/>
      <x:c r="H66" s="17"/>
      <x:c r="I66" s="17"/>
    </x:row>
    <x:row r="67">
      <x:c r="A67" s="16" t="str">
        <x:v>温州</x:v>
      </x:c>
      <x:c r="B67" s="16" t="str">
        <x:v>龙湾区</x:v>
      </x:c>
      <x:c r="C67" s="21" t="n">
        <x:v>22.77</x:v>
      </x:c>
      <x:c r="D67" s="21"/>
      <x:c r="E67" s="21"/>
      <x:c r="F67" s="17"/>
      <x:c r="G67" s="17"/>
      <x:c r="H67" s="17"/>
      <x:c r="I67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12" hidden="0" customWidth="1"/>
    <x:col min="3" max="3" width="34" hidden="0" customWidth="1"/>
    <x:col min="4" max="4" width="24" hidden="0" customWidth="1"/>
    <x:col min="5" max="5" width="13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6" customHeight="1">
      <x:c r="A1" s="5" t="str">
        <x:v>城市</x:v>
      </x:c>
      <x:c r="B1" s="5" t="str">
        <x:v>区县</x:v>
      </x:c>
      <x:c r="C1" s="5" t="str">
        <x:v>岗位</x:v>
      </x:c>
      <x:c r="D1" s="5" t="str">
        <x:v>公司</x:v>
      </x:c>
      <x:c r="E1" s="5" t="str">
        <x:v>薪资</x:v>
      </x:c>
      <x:c r="F1" s="5" t="str">
        <x:v>月薪下限（元）</x:v>
      </x:c>
      <x:c r="G1" s="5" t="str">
        <x:v>需要出差</x:v>
      </x:c>
      <x:c r="H1" s="5" t="str">
        <x:v>不需要出差</x:v>
      </x:c>
    </x:row>
    <x:row r="2">
      <x:c r="A2" s="24" t="str">
        <x:v>上海</x:v>
      </x:c>
      <x:c r="B2" s="24" t="str">
        <x:v>闵行区</x:v>
      </x:c>
      <x:c r="C2" s="24" t="str">
        <x:v>2027校招--储能硬件开发工程师(J10110)</x:v>
      </x:c>
      <x:c r="D2" s="24" t="str">
        <x:v>光宝科技（北京）</x:v>
      </x:c>
      <x:c r="E2" s="24" t="str">
        <x:v>14-17K·14薪</x:v>
      </x:c>
      <x:c r="F2" s="25" t="n">
        <x:v>14</x:v>
      </x:c>
      <x:c r="G2" s="24" t="str"/>
      <x:c r="H2" s="24" t="str"/>
    </x:row>
    <x:row r="3">
      <x:c r="A3" s="24" t="str">
        <x:v>上海</x:v>
      </x:c>
      <x:c r="B3" s="24" t="str">
        <x:v>青浦区</x:v>
      </x:c>
      <x:c r="C3" s="24" t="str">
        <x:v>电源工程师</x:v>
      </x:c>
      <x:c r="D3" s="24" t="str">
        <x:v>华为</x:v>
      </x:c>
      <x:c r="E3" s="24" t="str">
        <x:v>18-30K·14薪</x:v>
      </x:c>
      <x:c r="F3" s="25" t="n">
        <x:v>18</x:v>
      </x:c>
      <x:c r="G3" s="24" t="str"/>
      <x:c r="H3" s="24" t="str"/>
    </x:row>
    <x:row r="4">
      <x:c r="A4" s="24" t="str">
        <x:v>上海</x:v>
      </x:c>
      <x:c r="B4" s="24" t="str">
        <x:v>嘉定区</x:v>
      </x:c>
      <x:c r="C4" s="24" t="str">
        <x:v>电气工程师助理</x:v>
      </x:c>
      <x:c r="D4" s="24" t="str">
        <x:v>上海优谛科技有限公司</x:v>
      </x:c>
      <x:c r="E4" s="24" t="str">
        <x:v>4-6K</x:v>
      </x:c>
      <x:c r="F4" s="25" t="n">
        <x:v>4</x:v>
      </x:c>
      <x:c r="G4" s="24" t="str"/>
      <x:c r="H4" s="24" t="str"/>
    </x:row>
    <x:row r="5">
      <x:c r="A5" s="24" t="str">
        <x:v>上海</x:v>
      </x:c>
      <x:c r="B5" s="24" t="str">
        <x:v>浦东新区</x:v>
      </x:c>
      <x:c r="C5" s="24" t="str">
        <x:v>硬件技术工程师</x:v>
      </x:c>
      <x:c r="D5" s="24" t="str">
        <x:v>华为</x:v>
      </x:c>
      <x:c r="E5" s="24" t="str">
        <x:v>15-30K·15薪</x:v>
      </x:c>
      <x:c r="F5" s="25" t="n">
        <x:v>15</x:v>
      </x:c>
      <x:c r="G5" s="24" t="str"/>
      <x:c r="H5" s="24" t="str"/>
    </x:row>
    <x:row r="6">
      <x:c r="A6" s="24" t="str">
        <x:v>上海</x:v>
      </x:c>
      <x:c r="B6" s="24" t="str">
        <x:v>闵行区</x:v>
      </x:c>
      <x:c r="C6" s="24" t="str">
        <x:v>管培生（户用光伏系统方向）</x:v>
      </x:c>
      <x:c r="D6" s="24" t="str">
        <x:v>Jinkopower</x:v>
      </x:c>
      <x:c r="E6" s="24" t="str">
        <x:v>9-11K</x:v>
      </x:c>
      <x:c r="F6" s="25" t="n">
        <x:v>9</x:v>
      </x:c>
      <x:c r="G6" s="24" t="str"/>
      <x:c r="H6" s="24" t="str"/>
    </x:row>
    <x:row r="7">
      <x:c r="A7" s="24" t="str">
        <x:v>上海</x:v>
      </x:c>
      <x:c r="B7" s="24" t="str">
        <x:v>浦东新区</x:v>
      </x:c>
      <x:c r="C7" s="24" t="str">
        <x:v>电源工程师</x:v>
      </x:c>
      <x:c r="D7" s="24" t="str">
        <x:v>华为技术有限公司</x:v>
      </x:c>
      <x:c r="E7" s="24" t="str">
        <x:v>15-28K</x:v>
      </x:c>
      <x:c r="F7" s="25" t="n">
        <x:v>15</x:v>
      </x:c>
      <x:c r="G7" s="24" t="str"/>
      <x:c r="H7" s="24" t="str"/>
    </x:row>
    <x:row r="8">
      <x:c r="A8" s="24" t="str">
        <x:v>上海</x:v>
      </x:c>
      <x:c r="B8" s="24" t="str">
        <x:v>松江区</x:v>
      </x:c>
      <x:c r="C8" s="24" t="str">
        <x:v>光伏系统工程师（毕业生）</x:v>
      </x:c>
      <x:c r="D8" s="24" t="str">
        <x:v>汇如电子</x:v>
      </x:c>
      <x:c r="E8" s="24" t="str">
        <x:v>6-8K·13薪</x:v>
      </x:c>
      <x:c r="F8" s="25" t="n">
        <x:v>6</x:v>
      </x:c>
      <x:c r="G8" s="24" t="str"/>
      <x:c r="H8" s="24" t="str"/>
    </x:row>
    <x:row r="9">
      <x:c r="A9" s="24" t="str">
        <x:v>上海</x:v>
      </x:c>
      <x:c r="B9" s="24" t="str">
        <x:v>松江区</x:v>
      </x:c>
      <x:c r="C9" s="24" t="str">
        <x:v>[2026校招] 厂务工程师</x:v>
      </x:c>
      <x:c r="D9" s="24" t="str">
        <x:v>台积电(中国)</x:v>
      </x:c>
      <x:c r="E9" s="24" t="str">
        <x:v>10-13K·14薪</x:v>
      </x:c>
      <x:c r="F9" s="25" t="n">
        <x:v>10</x:v>
      </x:c>
      <x:c r="G9" s="24" t="str"/>
      <x:c r="H9" s="24" t="str"/>
    </x:row>
    <x:row r="10">
      <x:c r="A10" s="24" t="str">
        <x:v>上海</x:v>
      </x:c>
      <x:c r="B10" s="24" t="str">
        <x:v>徐汇区</x:v>
      </x:c>
      <x:c r="C10" s="24" t="str">
        <x:v>助理厂务工程师</x:v>
      </x:c>
      <x:c r="D10" s="24" t="str">
        <x:v>科盛德</x:v>
      </x:c>
      <x:c r="E10" s="24" t="str">
        <x:v>7-9K·13薪</x:v>
      </x:c>
      <x:c r="F10" s="25" t="n">
        <x:v>7</x:v>
      </x:c>
      <x:c r="G10" s="24" t="str"/>
      <x:c r="H10" s="24" t="str"/>
    </x:row>
    <x:row r="11">
      <x:c r="A11" s="24" t="str">
        <x:v>上海</x:v>
      </x:c>
      <x:c r="B11" s="24" t="str">
        <x:v>徐汇区</x:v>
      </x:c>
      <x:c r="C11" s="24" t="str">
        <x:v>机器人测试工程师</x:v>
      </x:c>
      <x:c r="D11" s="24" t="str">
        <x:v>北京擎仓机器人科技</x:v>
      </x:c>
      <x:c r="E11" s="24" t="str">
        <x:v>8-13K·14薪</x:v>
      </x:c>
      <x:c r="F11" s="25" t="n">
        <x:v>8</x:v>
      </x:c>
      <x:c r="G11" s="24" t="str"/>
      <x:c r="H11" s="24" t="str"/>
    </x:row>
    <x:row r="12">
      <x:c r="A12" s="24" t="str">
        <x:v>上海</x:v>
      </x:c>
      <x:c r="B12" s="24" t="str">
        <x:v>嘉定区</x:v>
      </x:c>
      <x:c r="C12" s="24" t="str">
        <x:v>硬件助理工程师</x:v>
      </x:c>
      <x:c r="D12" s="24" t="str">
        <x:v>浙江孔辉汽车科技股份有限公司</x:v>
      </x:c>
      <x:c r="E12" s="24" t="str">
        <x:v>8-10K</x:v>
      </x:c>
      <x:c r="F12" s="25" t="n">
        <x:v>8</x:v>
      </x:c>
      <x:c r="G12" s="24" t="str"/>
      <x:c r="H12" s="24" t="str"/>
    </x:row>
    <x:row r="13">
      <x:c r="A13" s="24" t="str">
        <x:v>上海</x:v>
      </x:c>
      <x:c r="B13" s="24" t="str">
        <x:v>普陀区</x:v>
      </x:c>
      <x:c r="C13" s="24" t="str">
        <x:v>电气工程师</x:v>
      </x:c>
      <x:c r="D13" s="24" t="str">
        <x:v>爱德中创</x:v>
      </x:c>
      <x:c r="E13" s="24" t="str">
        <x:v>7-11K·14薪</x:v>
      </x:c>
      <x:c r="F13" s="25" t="n">
        <x:v>7</x:v>
      </x:c>
      <x:c r="G13" s="24" t="str"/>
      <x:c r="H13" s="24" t="str"/>
    </x:row>
    <x:row r="14">
      <x:c r="A14" s="24" t="str">
        <x:v>上海</x:v>
      </x:c>
      <x:c r="B14" s="24" t="str">
        <x:v>奉贤区</x:v>
      </x:c>
      <x:c r="C14" s="24" t="str">
        <x:v>机电工程师</x:v>
      </x:c>
      <x:c r="D14" s="24" t="str">
        <x:v>菡能科技</x:v>
      </x:c>
      <x:c r="E14" s="24" t="str">
        <x:v>6-8K·13薪</x:v>
      </x:c>
      <x:c r="F14" s="25" t="n">
        <x:v>6</x:v>
      </x:c>
      <x:c r="G14" s="24" t="str"/>
      <x:c r="H14" s="24" t="str"/>
    </x:row>
    <x:row r="15">
      <x:c r="A15" s="24" t="str">
        <x:v>上海</x:v>
      </x:c>
      <x:c r="B15" s="24" t="str">
        <x:v>浦东新区</x:v>
      </x:c>
      <x:c r="C15" s="24" t="str">
        <x:v>控制研发应用工程师（上海 校招）(J10063)</x:v>
      </x:c>
      <x:c r="D15" s="24" t="str">
        <x:v>新毅东科技有限公司</x:v>
      </x:c>
      <x:c r="E15" s="24" t="str">
        <x:v>18-35K·14薪</x:v>
      </x:c>
      <x:c r="F15" s="25" t="n">
        <x:v>18</x:v>
      </x:c>
      <x:c r="G15" s="24" t="str"/>
      <x:c r="H15" s="24" t="str"/>
    </x:row>
    <x:row r="16">
      <x:c r="A16" s="24" t="str">
        <x:v>上海</x:v>
      </x:c>
      <x:c r="B16" s="24" t="str">
        <x:v>松江区</x:v>
      </x:c>
      <x:c r="C16" s="24" t="str">
        <x:v>电气自动化工程师</x:v>
      </x:c>
      <x:c r="D16" s="24" t="str">
        <x:v>上海特瑞多船舶</x:v>
      </x:c>
      <x:c r="E16" s="24" t="str">
        <x:v>9-14K</x:v>
      </x:c>
      <x:c r="F16" s="25" t="n">
        <x:v>9</x:v>
      </x:c>
      <x:c r="G16" s="24" t="str"/>
      <x:c r="H16" s="24" t="str"/>
    </x:row>
    <x:row r="17">
      <x:c r="A17" s="24" t="str">
        <x:v>上海</x:v>
      </x:c>
      <x:c r="B17" s="24" t="str">
        <x:v>嘉定区</x:v>
      </x:c>
      <x:c r="C17" s="24" t="str">
        <x:v>机器人工程师（校招）</x:v>
      </x:c>
      <x:c r="D17" s="24" t="str">
        <x:v>固智机器人</x:v>
      </x:c>
      <x:c r="E17" s="24" t="str">
        <x:v>13-18K</x:v>
      </x:c>
      <x:c r="F17" s="25" t="n">
        <x:v>13</x:v>
      </x:c>
      <x:c r="G17" s="24" t="str"/>
      <x:c r="H17" s="24" t="str"/>
    </x:row>
    <x:row r="18">
      <x:c r="A18" s="24" t="str">
        <x:v>上海</x:v>
      </x:c>
      <x:c r="B18" s="24" t="str">
        <x:v>松江区</x:v>
      </x:c>
      <x:c r="C18" s="24" t="str">
        <x:v>助理硬件工程师</x:v>
      </x:c>
      <x:c r="D18" s="24" t="str">
        <x:v>创驱新能源</x:v>
      </x:c>
      <x:c r="E18" s="24" t="str">
        <x:v>8-10K·14薪</x:v>
      </x:c>
      <x:c r="F18" s="25" t="n">
        <x:v>8</x:v>
      </x:c>
      <x:c r="G18" s="24" t="str"/>
      <x:c r="H18" s="24" t="str"/>
    </x:row>
    <x:row r="19">
      <x:c r="A19" s="24" t="str">
        <x:v>上海</x:v>
      </x:c>
      <x:c r="B19" s="24" t="str">
        <x:v>长宁区</x:v>
      </x:c>
      <x:c r="C19" s="24" t="str">
        <x:v>电力交易助理</x:v>
      </x:c>
      <x:c r="D19" s="24" t="str">
        <x:v>轻环能源</x:v>
      </x:c>
      <x:c r="E19" s="24" t="str">
        <x:v>11-15K·13薪</x:v>
      </x:c>
      <x:c r="F19" s="25" t="n">
        <x:v>11</x:v>
      </x:c>
      <x:c r="G19" s="24" t="str"/>
      <x:c r="H19" s="24" t="str"/>
    </x:row>
    <x:row r="20">
      <x:c r="A20" s="24" t="str">
        <x:v>上海</x:v>
      </x:c>
      <x:c r="B20" s="24" t="str">
        <x:v>嘉定区</x:v>
      </x:c>
      <x:c r="C20" s="24" t="str">
        <x:v>电气工程师</x:v>
      </x:c>
      <x:c r="D20" s="24" t="str">
        <x:v>星环聚能</x:v>
      </x:c>
      <x:c r="E20" s="24" t="str">
        <x:v>10-15K·15薪</x:v>
      </x:c>
      <x:c r="F20" s="25" t="n">
        <x:v>10</x:v>
      </x:c>
      <x:c r="G20" s="24" t="str"/>
      <x:c r="H20" s="24" t="str"/>
    </x:row>
    <x:row r="21">
      <x:c r="A21" s="24" t="str">
        <x:v>上海</x:v>
      </x:c>
      <x:c r="B21" s="24" t="str">
        <x:v>浦东新区</x:v>
      </x:c>
      <x:c r="C21" s="24" t="str">
        <x:v>Fab_设备工程师（EE）_上海临港</x:v>
      </x:c>
      <x:c r="D21" s="24" t="str">
        <x:v>格科微</x:v>
      </x:c>
      <x:c r="E21" s="24" t="str">
        <x:v>10-15K·15薪</x:v>
      </x:c>
      <x:c r="F21" s="25" t="n">
        <x:v>10</x:v>
      </x:c>
      <x:c r="G21" s="24" t="str"/>
      <x:c r="H21" s="24" t="str"/>
    </x:row>
    <x:row r="22">
      <x:c r="A22" s="24" t="str">
        <x:v>上海</x:v>
      </x:c>
      <x:c r="B22" s="24" t="str">
        <x:v>浦东新区</x:v>
      </x:c>
      <x:c r="C22" s="24" t="str">
        <x:v>硬件电子工程师（上海）</x:v>
      </x:c>
      <x:c r="D22" s="24" t="str">
        <x:v>奥海科技</x:v>
      </x:c>
      <x:c r="E22" s="24" t="str">
        <x:v>9-14K·13薪</x:v>
      </x:c>
      <x:c r="F22" s="25" t="n">
        <x:v>9</x:v>
      </x:c>
      <x:c r="G22" s="24" t="str"/>
      <x:c r="H22" s="24" t="str"/>
    </x:row>
    <x:row r="23">
      <x:c r="A23" s="24" t="str">
        <x:v>上海</x:v>
      </x:c>
      <x:c r="B23" s="24" t="str">
        <x:v>嘉定区</x:v>
      </x:c>
      <x:c r="C23" s="24" t="str">
        <x:v>电力2026届应届生</x:v>
      </x:c>
      <x:c r="D23" s="24" t="str">
        <x:v>在伊环保</x:v>
      </x:c>
      <x:c r="E23" s="24" t="str">
        <x:v>5-8K·13薪</x:v>
      </x:c>
      <x:c r="F23" s="25" t="n">
        <x:v>5</x:v>
      </x:c>
      <x:c r="G23" s="24" t="str"/>
      <x:c r="H23" s="24" t="str"/>
    </x:row>
    <x:row r="24">
      <x:c r="A24" s="24" t="str">
        <x:v>上海</x:v>
      </x:c>
      <x:c r="B24" s="24" t="str">
        <x:v>徐汇区</x:v>
      </x:c>
      <x:c r="C24" s="24" t="str">
        <x:v>助理版图/PCB工程师</x:v>
      </x:c>
      <x:c r="D24" s="24" t="str">
        <x:v>橙科微电子</x:v>
      </x:c>
      <x:c r="E24" s="24" t="str">
        <x:v>3-8K·14薪</x:v>
      </x:c>
      <x:c r="F24" s="25" t="n">
        <x:v>3</x:v>
      </x:c>
      <x:c r="G24" s="24" t="str"/>
      <x:c r="H24" s="24" t="str"/>
    </x:row>
    <x:row r="25">
      <x:c r="A25" s="24" t="str">
        <x:v>上海</x:v>
      </x:c>
      <x:c r="B25" s="24" t="str">
        <x:v>青浦区</x:v>
      </x:c>
      <x:c r="C25" s="24" t="str">
        <x:v>硬件开发工程师</x:v>
      </x:c>
      <x:c r="D25" s="24" t="str">
        <x:v>华为</x:v>
      </x:c>
      <x:c r="E25" s="24" t="str">
        <x:v>18-25K·20薪</x:v>
      </x:c>
      <x:c r="F25" s="25" t="n">
        <x:v>18</x:v>
      </x:c>
      <x:c r="G25" s="24" t="str"/>
      <x:c r="H25" s="24" t="str"/>
    </x:row>
    <x:row r="26">
      <x:c r="A26" s="24" t="str">
        <x:v>上海</x:v>
      </x:c>
      <x:c r="B26" s="24" t="str">
        <x:v>嘉定区</x:v>
      </x:c>
      <x:c r="C26" s="24" t="str">
        <x:v>电子硬件助理工程师</x:v>
      </x:c>
      <x:c r="D26" s="24" t="str">
        <x:v>上海奉天电子股份...</x:v>
      </x:c>
      <x:c r="E26" s="24" t="str">
        <x:v>8-13K·13薪</x:v>
      </x:c>
      <x:c r="F26" s="25" t="n">
        <x:v>8</x:v>
      </x:c>
      <x:c r="G26" s="24" t="str"/>
      <x:c r="H26" s="24" t="str"/>
    </x:row>
    <x:row r="27">
      <x:c r="A27" s="24" t="str">
        <x:v>上海</x:v>
      </x:c>
      <x:c r="B27" s="24" t="str">
        <x:v>松江区</x:v>
      </x:c>
      <x:c r="C27" s="24" t="str">
        <x:v>电气工程师，机械及电气自动化，自动化</x:v>
      </x:c>
      <x:c r="D27" s="24" t="str">
        <x:v>熙颜科技</x:v>
      </x:c>
      <x:c r="E27" s="24" t="str">
        <x:v>6-10K·13薪</x:v>
      </x:c>
      <x:c r="F27" s="25" t="n">
        <x:v>6</x:v>
      </x:c>
      <x:c r="G27" s="24" t="str"/>
      <x:c r="H27" s="24" t="str"/>
    </x:row>
    <x:row r="28">
      <x:c r="A28" s="24" t="str">
        <x:v>上海</x:v>
      </x:c>
      <x:c r="B28" s="24" t="str">
        <x:v>长宁区</x:v>
      </x:c>
      <x:c r="C28" s="24" t="str">
        <x:v>机器人电子工程师（26校招）</x:v>
      </x:c>
      <x:c r="D28" s="24" t="str">
        <x:v>Sharpa</x:v>
      </x:c>
      <x:c r="E28" s="24" t="str">
        <x:v>25-50K·15薪</x:v>
      </x:c>
      <x:c r="F28" s="25" t="n">
        <x:v>25</x:v>
      </x:c>
      <x:c r="G28" s="24" t="str"/>
      <x:c r="H28" s="24" t="str"/>
    </x:row>
    <x:row r="29">
      <x:c r="A29" s="24" t="str">
        <x:v>上海</x:v>
      </x:c>
      <x:c r="B29" s="24" t="str">
        <x:v>浦东新区</x:v>
      </x:c>
      <x:c r="C29" s="24" t="str">
        <x:v>电子工程师</x:v>
      </x:c>
      <x:c r="D29" s="24" t="str">
        <x:v>上海可镭技术有限公司</x:v>
      </x:c>
      <x:c r="E29" s="24" t="str">
        <x:v>18-25K·14薪</x:v>
      </x:c>
      <x:c r="F29" s="25" t="n">
        <x:v>18</x:v>
      </x:c>
      <x:c r="G29" s="24" t="str"/>
      <x:c r="H29" s="24" t="str"/>
    </x:row>
    <x:row r="30">
      <x:c r="A30" s="24" t="str">
        <x:v>上海</x:v>
      </x:c>
      <x:c r="B30" s="24" t="str">
        <x:v>徐汇区</x:v>
      </x:c>
      <x:c r="C30" s="24" t="str">
        <x:v>27届-基带硬件工程师</x:v>
      </x:c>
      <x:c r="D30" s="24" t="str">
        <x:v>上海阶跃星辰智能科技</x:v>
      </x:c>
      <x:c r="E30" s="24" t="str">
        <x:v>15-28K·16薪</x:v>
      </x:c>
      <x:c r="F30" s="25" t="n">
        <x:v>15</x:v>
      </x:c>
      <x:c r="G30" s="24" t="str"/>
      <x:c r="H30" s="24" t="str"/>
    </x:row>
    <x:row r="31">
      <x:c r="A31" s="24" t="str">
        <x:v>上海</x:v>
      </x:c>
      <x:c r="B31" s="24" t="str">
        <x:v>浦东新区</x:v>
      </x:c>
      <x:c r="C31" s="24" t="str">
        <x:v>版图设计助理工程师(J10435)</x:v>
      </x:c>
      <x:c r="D31" s="24" t="str">
        <x:v>钜泉光电</x:v>
      </x:c>
      <x:c r="E31" s="24" t="str">
        <x:v>16-20K·15薪</x:v>
      </x:c>
      <x:c r="F31" s="25" t="n">
        <x:v>16</x:v>
      </x:c>
      <x:c r="G31" s="24" t="str"/>
      <x:c r="H31" s="24" t="str"/>
    </x:row>
    <x:row r="32">
      <x:c r="A32" s="24" t="str">
        <x:v>上海</x:v>
      </x:c>
      <x:c r="B32" s="24" t="str">
        <x:v>闵行区</x:v>
      </x:c>
      <x:c r="C32" s="24" t="str">
        <x:v>电子电气测试工程师</x:v>
      </x:c>
      <x:c r="D32" s="24" t="str">
        <x:v>节卡机器人</x:v>
      </x:c>
      <x:c r="E32" s="24" t="str">
        <x:v>12-20K</x:v>
      </x:c>
      <x:c r="F32" s="25" t="n">
        <x:v>12</x:v>
      </x:c>
      <x:c r="G32" s="24" t="str"/>
      <x:c r="H32" s="24" t="str"/>
    </x:row>
    <x:row r="33">
      <x:c r="A33" s="24" t="str">
        <x:v>上海</x:v>
      </x:c>
      <x:c r="B33" s="24" t="str">
        <x:v>松江区</x:v>
      </x:c>
      <x:c r="C33" s="24" t="str">
        <x:v>助理电气工程师</x:v>
      </x:c>
      <x:c r="D33" s="24" t="str">
        <x:v>聆创机电</x:v>
      </x:c>
      <x:c r="E33" s="24" t="str">
        <x:v>8-10K·13薪</x:v>
      </x:c>
      <x:c r="F33" s="25" t="n">
        <x:v>8</x:v>
      </x:c>
      <x:c r="G33" s="24" t="str"/>
      <x:c r="H33" s="24" t="str"/>
    </x:row>
    <x:row r="34">
      <x:c r="A34" s="24" t="str">
        <x:v>上海</x:v>
      </x:c>
      <x:c r="B34" s="24" t="str">
        <x:v>嘉定区</x:v>
      </x:c>
      <x:c r="C34" s="24" t="str">
        <x:v>电气工程师（校招）</x:v>
      </x:c>
      <x:c r="D34" s="24" t="str">
        <x:v>固智机器人</x:v>
      </x:c>
      <x:c r="E34" s="24" t="str">
        <x:v>15-18K</x:v>
      </x:c>
      <x:c r="F34" s="25" t="n">
        <x:v>15</x:v>
      </x:c>
      <x:c r="G34" s="24" t="str"/>
      <x:c r="H34" s="24" t="str"/>
    </x:row>
    <x:row r="35">
      <x:c r="A35" s="24" t="str">
        <x:v>上海</x:v>
      </x:c>
      <x:c r="B35" s="24" t="str">
        <x:v>青浦区</x:v>
      </x:c>
      <x:c r="C35" s="24" t="str">
        <x:v>电气自动化专业应届生</x:v>
      </x:c>
      <x:c r="D35" s="24" t="str">
        <x:v>上海松川</x:v>
      </x:c>
      <x:c r="E35" s="24" t="str">
        <x:v>10-15K</x:v>
      </x:c>
      <x:c r="F35" s="25" t="n">
        <x:v>10</x:v>
      </x:c>
      <x:c r="G35" s="24" t="str"/>
      <x:c r="H35" s="24" t="str"/>
    </x:row>
    <x:row r="36">
      <x:c r="A36" s="24" t="str">
        <x:v>上海</x:v>
      </x:c>
      <x:c r="B36" s="24" t="str">
        <x:v>浦东新区</x:v>
      </x:c>
      <x:c r="C36" s="24" t="str">
        <x:v>电气设计工程师</x:v>
      </x:c>
      <x:c r="D36" s="24" t="str">
        <x:v>宇量昇</x:v>
      </x:c>
      <x:c r="E36" s="24" t="str">
        <x:v>15-25K·15薪</x:v>
      </x:c>
      <x:c r="F36" s="25" t="n">
        <x:v>15</x:v>
      </x:c>
      <x:c r="G36" s="24" t="str"/>
      <x:c r="H36" s="24" t="str"/>
    </x:row>
    <x:row r="37">
      <x:c r="A37" s="24" t="str">
        <x:v>上海</x:v>
      </x:c>
      <x:c r="B37" s="24" t="str"/>
      <x:c r="C37" s="24" t="str">
        <x:v>硬件开发工程师（上海交大教授亲自带教）</x:v>
      </x:c>
      <x:c r="D37" s="24" t="str">
        <x:v>华乘科技</x:v>
      </x:c>
      <x:c r="E37" s="24" t="str">
        <x:v>15-20K·14薪</x:v>
      </x:c>
      <x:c r="F37" s="25" t="n">
        <x:v>15</x:v>
      </x:c>
      <x:c r="G37" s="24" t="str"/>
      <x:c r="H37" s="24" t="str"/>
    </x:row>
    <x:row r="38">
      <x:c r="A38" s="24" t="str">
        <x:v>上海</x:v>
      </x:c>
      <x:c r="B38" s="24" t="str">
        <x:v>浦东新区</x:v>
      </x:c>
      <x:c r="C38" s="24" t="str">
        <x:v>电气工程师</x:v>
      </x:c>
      <x:c r="D38" s="24" t="str">
        <x:v>美登思电气(上海...</x:v>
      </x:c>
      <x:c r="E38" s="24" t="str">
        <x:v>6-8K·13薪</x:v>
      </x:c>
      <x:c r="F38" s="25" t="n">
        <x:v>6</x:v>
      </x:c>
      <x:c r="G38" s="24" t="str"/>
      <x:c r="H38" s="24" t="str"/>
    </x:row>
    <x:row r="39">
      <x:c r="A39" s="24" t="str">
        <x:v>上海</x:v>
      </x:c>
      <x:c r="B39" s="24" t="str">
        <x:v>奉贤区</x:v>
      </x:c>
      <x:c r="C39" s="24" t="str">
        <x:v>现场工程师（机械、电气、材料等工科专业）</x:v>
      </x:c>
      <x:c r="D39" s="24" t="str">
        <x:v>人本集团有限公司</x:v>
      </x:c>
      <x:c r="E39" s="24" t="str">
        <x:v>6-8K·13薪</x:v>
      </x:c>
      <x:c r="F39" s="25" t="n">
        <x:v>6</x:v>
      </x:c>
      <x:c r="G39" s="24" t="str">
        <x:v>是</x:v>
      </x:c>
      <x:c r="H39" s="24" t="str">
        <x:v>是</x:v>
      </x:c>
    </x:row>
    <x:row r="40">
      <x:c r="A40" s="24" t="str">
        <x:v>上海</x:v>
      </x:c>
      <x:c r="B40" s="24" t="str">
        <x:v>嘉定区</x:v>
      </x:c>
      <x:c r="C40" s="24" t="str">
        <x:v>自动化电气工程师</x:v>
      </x:c>
      <x:c r="D40" s="24" t="str">
        <x:v>上海河洛</x:v>
      </x:c>
      <x:c r="E40" s="24" t="str">
        <x:v>6-10K</x:v>
      </x:c>
      <x:c r="F40" s="25" t="n">
        <x:v>6</x:v>
      </x:c>
      <x:c r="G40" s="24" t="str"/>
      <x:c r="H40" s="24" t="str"/>
    </x:row>
    <x:row r="41">
      <x:c r="A41" s="24" t="str">
        <x:v>上海</x:v>
      </x:c>
      <x:c r="B41" s="24" t="str">
        <x:v>普陀区</x:v>
      </x:c>
      <x:c r="C41" s="24" t="str">
        <x:v>见习电气工程师</x:v>
      </x:c>
      <x:c r="D41" s="24" t="str">
        <x:v>巴马丹拿建筑设计</x:v>
      </x:c>
      <x:c r="E41" s="24" t="str">
        <x:v>7-8K</x:v>
      </x:c>
      <x:c r="F41" s="25" t="n">
        <x:v>7</x:v>
      </x:c>
      <x:c r="G41" s="24" t="str"/>
      <x:c r="H41" s="24" t="str"/>
    </x:row>
    <x:row r="42">
      <x:c r="A42" s="24" t="str">
        <x:v>上海</x:v>
      </x:c>
      <x:c r="B42" s="24" t="str">
        <x:v>青浦区</x:v>
      </x:c>
      <x:c r="C42" s="24" t="str">
        <x:v>硬件测试工程师</x:v>
      </x:c>
      <x:c r="D42" s="24" t="str">
        <x:v>上海华为技术有限公司</x:v>
      </x:c>
      <x:c r="E42" s="24" t="str">
        <x:v>20-30K·14薪</x:v>
      </x:c>
      <x:c r="F42" s="25" t="n">
        <x:v>20</x:v>
      </x:c>
      <x:c r="G42" s="24" t="str"/>
      <x:c r="H42" s="24" t="str"/>
    </x:row>
    <x:row r="43">
      <x:c r="A43" s="24" t="str">
        <x:v>上海</x:v>
      </x:c>
      <x:c r="B43" s="24" t="str">
        <x:v>徐汇区</x:v>
      </x:c>
      <x:c r="C43" s="24" t="str">
        <x:v>机器人开发工程师</x:v>
      </x:c>
      <x:c r="D43" s="24" t="str">
        <x:v>上海希夕</x:v>
      </x:c>
      <x:c r="E43" s="24" t="str">
        <x:v>15-25K</x:v>
      </x:c>
      <x:c r="F43" s="25" t="n">
        <x:v>15</x:v>
      </x:c>
      <x:c r="G43" s="24" t="str"/>
      <x:c r="H43" s="24" t="str"/>
    </x:row>
    <x:row r="44">
      <x:c r="A44" s="24" t="str">
        <x:v>上海</x:v>
      </x:c>
      <x:c r="B44" s="24" t="str">
        <x:v>浦东新区</x:v>
      </x:c>
      <x:c r="C44" s="24" t="str">
        <x:v>硬件开发</x:v>
      </x:c>
      <x:c r="D44" s="24" t="str">
        <x:v>华为技术有限公司</x:v>
      </x:c>
      <x:c r="E44" s="24" t="str">
        <x:v>25-35K</x:v>
      </x:c>
      <x:c r="F44" s="25" t="n">
        <x:v>25</x:v>
      </x:c>
      <x:c r="G44" s="24" t="str"/>
      <x:c r="H44" s="24" t="str"/>
    </x:row>
    <x:row r="45">
      <x:c r="A45" s="24" t="str">
        <x:v>上海</x:v>
      </x:c>
      <x:c r="B45" s="24" t="str">
        <x:v>浦东新区</x:v>
      </x:c>
      <x:c r="C45" s="24" t="str">
        <x:v>电源硬件工程师</x:v>
      </x:c>
      <x:c r="D45" s="24" t="str">
        <x:v>浙江宏泰工程项目管理</x:v>
      </x:c>
      <x:c r="E45" s="24" t="str">
        <x:v>30-60K</x:v>
      </x:c>
      <x:c r="F45" s="25" t="n">
        <x:v>30</x:v>
      </x:c>
      <x:c r="G45" s="24" t="str"/>
      <x:c r="H45" s="24" t="str"/>
    </x:row>
    <x:row r="46">
      <x:c r="A46" s="24" t="str">
        <x:v>上海</x:v>
      </x:c>
      <x:c r="B46" s="24" t="str">
        <x:v>青浦区</x:v>
      </x:c>
      <x:c r="C46" s="24" t="str">
        <x:v>硬件工程师</x:v>
      </x:c>
      <x:c r="D46" s="24" t="str">
        <x:v>西安华为技术有限公司</x:v>
      </x:c>
      <x:c r="E46" s="24" t="str">
        <x:v>15-30K</x:v>
      </x:c>
      <x:c r="F46" s="25" t="n">
        <x:v>15</x:v>
      </x:c>
      <x:c r="G46" s="24" t="str"/>
      <x:c r="H46" s="24" t="str"/>
    </x:row>
    <x:row r="47">
      <x:c r="A47" s="24" t="str">
        <x:v>上海</x:v>
      </x:c>
      <x:c r="B47" s="24" t="str">
        <x:v>松江区</x:v>
      </x:c>
      <x:c r="C47" s="24" t="str">
        <x:v>嵌入式软硬件工程师</x:v>
      </x:c>
      <x:c r="D47" s="24" t="str">
        <x:v>毅赫</x:v>
      </x:c>
      <x:c r="E47" s="24" t="str">
        <x:v>8-13K·13薪</x:v>
      </x:c>
      <x:c r="F47" s="25" t="n">
        <x:v>8</x:v>
      </x:c>
      <x:c r="G47" s="24" t="str"/>
      <x:c r="H47" s="24" t="str"/>
    </x:row>
    <x:row r="48">
      <x:c r="A48" s="24" t="str">
        <x:v>上海</x:v>
      </x:c>
      <x:c r="B48" s="24" t="str">
        <x:v>浦东新区</x:v>
      </x:c>
      <x:c r="C48" s="24" t="str">
        <x:v>硬件测试/助理工程师（25/26届）-公司培养</x:v>
      </x:c>
      <x:c r="D48" s="24" t="str">
        <x:v>天地宽视</x:v>
      </x:c>
      <x:c r="E48" s="24" t="str">
        <x:v>7-9K</x:v>
      </x:c>
      <x:c r="F48" s="25" t="n">
        <x:v>7</x:v>
      </x:c>
      <x:c r="G48" s="24" t="str"/>
      <x:c r="H48" s="24" t="str"/>
    </x:row>
    <x:row r="49">
      <x:c r="A49" s="24" t="str">
        <x:v>上海</x:v>
      </x:c>
      <x:c r="B49" s="24" t="str">
        <x:v>青浦区</x:v>
      </x:c>
      <x:c r="C49" s="24" t="str">
        <x:v>计算产品线单板硬件工程师</x:v>
      </x:c>
      <x:c r="D49" s="24" t="str">
        <x:v>上海华为技术有限公司</x:v>
      </x:c>
      <x:c r="E49" s="24" t="str">
        <x:v>15-25K·16薪</x:v>
      </x:c>
      <x:c r="F49" s="25" t="n">
        <x:v>15</x:v>
      </x:c>
      <x:c r="G49" s="24" t="str"/>
      <x:c r="H49" s="24" t="str"/>
    </x:row>
    <x:row r="50">
      <x:c r="A50" s="24" t="str">
        <x:v>上海</x:v>
      </x:c>
      <x:c r="B50" s="24" t="str">
        <x:v>浦东新区</x:v>
      </x:c>
      <x:c r="C50" s="24" t="str">
        <x:v>【校招】硬件测试工程师(A214037)</x:v>
      </x:c>
      <x:c r="D50" s="24" t="str">
        <x:v>思格新能源</x:v>
      </x:c>
      <x:c r="E50" s="24" t="str">
        <x:v>15-27K·15薪</x:v>
      </x:c>
      <x:c r="F50" s="25" t="n">
        <x:v>15</x:v>
      </x:c>
      <x:c r="G50" s="24" t="str"/>
      <x:c r="H50" s="24" t="str"/>
    </x:row>
    <x:row r="51">
      <x:c r="A51" s="24" t="str">
        <x:v>上海</x:v>
      </x:c>
      <x:c r="B51" s="24" t="str">
        <x:v>徐汇区</x:v>
      </x:c>
      <x:c r="C51" s="24" t="str">
        <x:v>硬件工程师（2027届校招）</x:v>
      </x:c>
      <x:c r="D51" s="24" t="str">
        <x:v>途虎养车</x:v>
      </x:c>
      <x:c r="E51" s="24" t="str">
        <x:v>18-30K·14薪</x:v>
      </x:c>
      <x:c r="F51" s="25" t="n">
        <x:v>18</x:v>
      </x:c>
      <x:c r="G51" s="24" t="str"/>
      <x:c r="H51" s="24" t="str"/>
    </x:row>
    <x:row r="52">
      <x:c r="A52" s="24" t="str">
        <x:v>上海</x:v>
      </x:c>
      <x:c r="B52" s="24" t="str"/>
      <x:c r="C52" s="24" t="str">
        <x:v>硬件测试工程师</x:v>
      </x:c>
      <x:c r="D52" s="24" t="str">
        <x:v>宇量昇科技有限公司</x:v>
      </x:c>
      <x:c r="E52" s="24" t="str">
        <x:v>15-20K·15薪</x:v>
      </x:c>
      <x:c r="F52" s="25" t="n">
        <x:v>15</x:v>
      </x:c>
      <x:c r="G52" s="24" t="str"/>
      <x:c r="H52" s="24" t="str"/>
    </x:row>
    <x:row r="53">
      <x:c r="A53" s="24" t="str">
        <x:v>上海</x:v>
      </x:c>
      <x:c r="B53" s="24" t="str">
        <x:v>闵行区</x:v>
      </x:c>
      <x:c r="C53" s="24" t="str">
        <x:v>硬件测试工程师-2027届(J11276)</x:v>
      </x:c>
      <x:c r="D53" s="24" t="str">
        <x:v>艾为电子</x:v>
      </x:c>
      <x:c r="E53" s="24" t="str">
        <x:v>12-18K·15薪</x:v>
      </x:c>
      <x:c r="F53" s="25" t="n">
        <x:v>12</x:v>
      </x:c>
      <x:c r="G53" s="24" t="str"/>
      <x:c r="H53" s="24" t="str"/>
    </x:row>
    <x:row r="54">
      <x:c r="A54" s="24" t="str">
        <x:v>上海</x:v>
      </x:c>
      <x:c r="B54" s="24" t="str">
        <x:v>浦东新区</x:v>
      </x:c>
      <x:c r="C54" s="24" t="str">
        <x:v>硬件测试工程师-Genie业务部</x:v>
      </x:c>
      <x:c r="D54" s="24" t="str">
        <x:v>智元机器人</x:v>
      </x:c>
      <x:c r="E54" s="24" t="str">
        <x:v>20-40K·15薪</x:v>
      </x:c>
      <x:c r="F54" s="25" t="n">
        <x:v>20</x:v>
      </x:c>
      <x:c r="G54" s="24" t="str"/>
      <x:c r="H54" s="24" t="str"/>
    </x:row>
    <x:row r="55">
      <x:c r="A55" s="24" t="str">
        <x:v>上海</x:v>
      </x:c>
      <x:c r="B55" s="24" t="str">
        <x:v>闵行区</x:v>
      </x:c>
      <x:c r="C55" s="24" t="str">
        <x:v>嵌入式硬件工程师</x:v>
      </x:c>
      <x:c r="D55" s="24" t="str">
        <x:v>溯勤教育</x:v>
      </x:c>
      <x:c r="E55" s="24" t="str">
        <x:v>8-12K</x:v>
      </x:c>
      <x:c r="F55" s="25" t="n">
        <x:v>8</x:v>
      </x:c>
      <x:c r="G55" s="24" t="str"/>
      <x:c r="H55" s="24" t="str"/>
    </x:row>
    <x:row r="56">
      <x:c r="A56" s="24" t="str">
        <x:v>上海</x:v>
      </x:c>
      <x:c r="B56" s="24" t="str"/>
      <x:c r="C56" s="24" t="str">
        <x:v>嵌入式硬件工程师</x:v>
      </x:c>
      <x:c r="D56" s="24" t="str">
        <x:v>南芯</x:v>
      </x:c>
      <x:c r="E56" s="24" t="str">
        <x:v>15-25K·16薪</x:v>
      </x:c>
      <x:c r="F56" s="25" t="n">
        <x:v>15</x:v>
      </x:c>
      <x:c r="G56" s="24" t="str"/>
      <x:c r="H56" s="24" t="str"/>
    </x:row>
    <x:row r="57">
      <x:c r="A57" s="24" t="str">
        <x:v>上海</x:v>
      </x:c>
      <x:c r="B57" s="24" t="str">
        <x:v>浦东新区</x:v>
      </x:c>
      <x:c r="C57" s="24" t="str">
        <x:v>2027-硬件设计工程师-上海(J10311)</x:v>
      </x:c>
      <x:c r="D57" s="24" t="str">
        <x:v>恒玄科技</x:v>
      </x:c>
      <x:c r="E57" s="24" t="str">
        <x:v>20-25K·15薪</x:v>
      </x:c>
      <x:c r="F57" s="25" t="n">
        <x:v>20</x:v>
      </x:c>
      <x:c r="G57" s="24" t="str"/>
      <x:c r="H57" s="24" t="str"/>
    </x:row>
    <x:row r="58">
      <x:c r="A58" s="24" t="str">
        <x:v>上海</x:v>
      </x:c>
      <x:c r="B58" s="24" t="str">
        <x:v>青浦区</x:v>
      </x:c>
      <x:c r="C58" s="24" t="str">
        <x:v>硬件工程师</x:v>
      </x:c>
      <x:c r="D58" s="24" t="str">
        <x:v>苏州华为</x:v>
      </x:c>
      <x:c r="E58" s="24" t="str">
        <x:v>18-35K·16薪</x:v>
      </x:c>
      <x:c r="F58" s="25" t="n">
        <x:v>18</x:v>
      </x:c>
      <x:c r="G58" s="24" t="str"/>
      <x:c r="H58" s="24" t="str"/>
    </x:row>
    <x:row r="59">
      <x:c r="A59" s="24" t="str">
        <x:v>上海</x:v>
      </x:c>
      <x:c r="B59" s="24" t="str">
        <x:v>普陀区</x:v>
      </x:c>
      <x:c r="C59" s="24" t="str">
        <x:v>硬件工程师</x:v>
      </x:c>
      <x:c r="D59" s="24" t="str">
        <x:v>上海势炎</x:v>
      </x:c>
      <x:c r="E59" s="24" t="str">
        <x:v>8-11K</x:v>
      </x:c>
      <x:c r="F59" s="25" t="n">
        <x:v>8</x:v>
      </x:c>
      <x:c r="G59" s="24" t="str"/>
      <x:c r="H59" s="24" t="str"/>
    </x:row>
    <x:row r="60">
      <x:c r="A60" s="24" t="str">
        <x:v>上海</x:v>
      </x:c>
      <x:c r="B60" s="24" t="str">
        <x:v>浦东新区</x:v>
      </x:c>
      <x:c r="C60" s="24" t="str">
        <x:v>嵌入式硬件工程师</x:v>
      </x:c>
      <x:c r="D60" s="24" t="str">
        <x:v>智子力控</x:v>
      </x:c>
      <x:c r="E60" s="24" t="str">
        <x:v>10-15K·13薪</x:v>
      </x:c>
      <x:c r="F60" s="25" t="n">
        <x:v>10</x:v>
      </x:c>
      <x:c r="G60" s="24" t="str"/>
      <x:c r="H60" s="24" t="str"/>
    </x:row>
    <x:row r="61">
      <x:c r="A61" s="24" t="str">
        <x:v>上海</x:v>
      </x:c>
      <x:c r="B61" s="24" t="str">
        <x:v>浦东新区</x:v>
      </x:c>
      <x:c r="C61" s="24" t="str">
        <x:v>硬件测试工程师</x:v>
      </x:c>
      <x:c r="D61" s="24" t="str">
        <x:v>6Sigma</x:v>
      </x:c>
      <x:c r="E61" s="24" t="str">
        <x:v>8-12K</x:v>
      </x:c>
      <x:c r="F61" s="25" t="n">
        <x:v>8</x:v>
      </x:c>
      <x:c r="G61" s="24" t="str"/>
      <x:c r="H61" s="24" t="str"/>
    </x:row>
    <x:row r="62">
      <x:c r="A62" s="24" t="str">
        <x:v>上海</x:v>
      </x:c>
      <x:c r="B62" s="24" t="str">
        <x:v>闵行区</x:v>
      </x:c>
      <x:c r="C62" s="24" t="str">
        <x:v>27届-硬件测试工程师</x:v>
      </x:c>
      <x:c r="D62" s="24" t="str">
        <x:v>龙旗科技</x:v>
      </x:c>
      <x:c r="E62" s="24" t="str">
        <x:v>10-15K·14薪</x:v>
      </x:c>
      <x:c r="F62" s="25" t="n">
        <x:v>10</x:v>
      </x:c>
      <x:c r="G62" s="24" t="str"/>
      <x:c r="H62" s="24" t="str"/>
    </x:row>
    <x:row r="63">
      <x:c r="A63" s="24" t="str">
        <x:v>上海</x:v>
      </x:c>
      <x:c r="B63" s="24" t="str">
        <x:v>闵行区</x:v>
      </x:c>
      <x:c r="C63" s="24" t="str">
        <x:v>硬件助理工程师</x:v>
      </x:c>
      <x:c r="D63" s="24" t="str">
        <x:v>易和声学科技有限公司</x:v>
      </x:c>
      <x:c r="E63" s="24" t="str">
        <x:v>5-6K</x:v>
      </x:c>
      <x:c r="F63" s="25" t="n">
        <x:v>5</x:v>
      </x:c>
      <x:c r="G63" s="24" t="str"/>
      <x:c r="H63" s="24" t="str"/>
    </x:row>
    <x:row r="64">
      <x:c r="A64" s="24" t="str">
        <x:v>上海</x:v>
      </x:c>
      <x:c r="B64" s="24" t="str">
        <x:v>嘉定区</x:v>
      </x:c>
      <x:c r="C64" s="24" t="str">
        <x:v>仓储自动化设计师（应届生）</x:v>
      </x:c>
      <x:c r="D64" s="24" t="str">
        <x:v>上海欧力德</x:v>
      </x:c>
      <x:c r="E64" s="24" t="str">
        <x:v>7-10K</x:v>
      </x:c>
      <x:c r="F64" s="25" t="n">
        <x:v>7</x:v>
      </x:c>
      <x:c r="G64" s="24" t="str"/>
      <x:c r="H64" s="24" t="str"/>
    </x:row>
    <x:row r="65">
      <x:c r="A65" s="24" t="str">
        <x:v>上海</x:v>
      </x:c>
      <x:c r="B65" s="24" t="str">
        <x:v>青浦区</x:v>
      </x:c>
      <x:c r="C65" s="24" t="str">
        <x:v>自动化测试</x:v>
      </x:c>
      <x:c r="D65" s="24" t="str">
        <x:v>华为</x:v>
      </x:c>
      <x:c r="E65" s="24" t="str">
        <x:v>18-20K</x:v>
      </x:c>
      <x:c r="F65" s="25" t="n">
        <x:v>18</x:v>
      </x:c>
      <x:c r="G65" s="24" t="str"/>
      <x:c r="H65" s="24" t="str"/>
    </x:row>
    <x:row r="66">
      <x:c r="A66" s="24" t="str">
        <x:v>上海</x:v>
      </x:c>
      <x:c r="B66" s="24" t="str">
        <x:v>金山区</x:v>
      </x:c>
      <x:c r="C66" s="24" t="str">
        <x:v>自动化设备工程师（管培生）</x:v>
      </x:c>
      <x:c r="D66" s="24" t="str">
        <x:v>山林枫</x:v>
      </x:c>
      <x:c r="E66" s="24" t="str">
        <x:v>6-7K</x:v>
      </x:c>
      <x:c r="F66" s="25" t="n">
        <x:v>6</x:v>
      </x:c>
      <x:c r="G66" s="24" t="str"/>
      <x:c r="H66" s="24" t="str"/>
    </x:row>
    <x:row r="67">
      <x:c r="A67" s="24" t="str">
        <x:v>上海</x:v>
      </x:c>
      <x:c r="B67" s="24" t="str">
        <x:v>闵行区</x:v>
      </x:c>
      <x:c r="C67" s="24" t="str">
        <x:v>机械工程师(非标自动化设备）</x:v>
      </x:c>
      <x:c r="D67" s="24" t="str">
        <x:v>科致电气</x:v>
      </x:c>
      <x:c r="E67" s="24" t="str">
        <x:v>4-6K</x:v>
      </x:c>
      <x:c r="F67" s="25" t="n">
        <x:v>4</x:v>
      </x:c>
      <x:c r="G67" s="24" t="str"/>
      <x:c r="H67" s="24" t="str"/>
    </x:row>
    <x:row r="68">
      <x:c r="A68" s="24" t="str">
        <x:v>上海</x:v>
      </x:c>
      <x:c r="B68" s="24" t="str">
        <x:v>闵行区</x:v>
      </x:c>
      <x:c r="C68" s="24" t="str">
        <x:v>设备工程师</x:v>
      </x:c>
      <x:c r="D68" s="24" t="str">
        <x:v>天伟生物</x:v>
      </x:c>
      <x:c r="E68" s="24" t="str">
        <x:v>8-13K·13薪</x:v>
      </x:c>
      <x:c r="F68" s="25" t="n">
        <x:v>8</x:v>
      </x:c>
      <x:c r="G68" s="24" t="str">
        <x:v>是</x:v>
      </x:c>
      <x:c r="H68" s="24" t="str">
        <x:v>是</x:v>
      </x:c>
    </x:row>
    <x:row r="69">
      <x:c r="A69" s="24" t="str">
        <x:v>丽水</x:v>
      </x:c>
      <x:c r="B69" s="24" t="str">
        <x:v>莲都区</x:v>
      </x:c>
      <x:c r="C69" s="24" t="str">
        <x:v>助理设备工程师</x:v>
      </x:c>
      <x:c r="D69" s="24" t="str">
        <x:v>广芯微电子</x:v>
      </x:c>
      <x:c r="E69" s="24" t="str">
        <x:v>6-8K·13薪</x:v>
      </x:c>
      <x:c r="F69" s="25" t="n">
        <x:v>6</x:v>
      </x:c>
      <x:c r="G69" s="24" t="str"/>
      <x:c r="H69" s="24" t="str"/>
    </x:row>
    <x:row r="70">
      <x:c r="A70" s="24" t="str">
        <x:v>丽水</x:v>
      </x:c>
      <x:c r="B70" s="24" t="str"/>
      <x:c r="C70" s="24" t="str">
        <x:v>机械设备工程师</x:v>
      </x:c>
      <x:c r="D70" s="24" t="str">
        <x:v>立宇</x:v>
      </x:c>
      <x:c r="E70" s="24" t="str">
        <x:v>10-12K</x:v>
      </x:c>
      <x:c r="F70" s="25" t="n">
        <x:v>10</x:v>
      </x:c>
      <x:c r="G70" s="24" t="str">
        <x:v>是</x:v>
      </x:c>
      <x:c r="H70" s="24" t="str"/>
    </x:row>
    <x:row r="71">
      <x:c r="A71" s="24" t="str">
        <x:v>丽水</x:v>
      </x:c>
      <x:c r="B71" s="24" t="str">
        <x:v>莲都区</x:v>
      </x:c>
      <x:c r="C71" s="24" t="str">
        <x:v>电气工程及其自动化</x:v>
      </x:c>
      <x:c r="D71" s="24" t="str">
        <x:v>魏茨曼</x:v>
      </x:c>
      <x:c r="E71" s="24" t="str">
        <x:v>4-8K</x:v>
      </x:c>
      <x:c r="F71" s="25" t="n">
        <x:v>4</x:v>
      </x:c>
      <x:c r="G71" s="24" t="str"/>
      <x:c r="H71" s="24" t="str"/>
    </x:row>
    <x:row r="72">
      <x:c r="A72" s="24" t="str">
        <x:v>南京</x:v>
      </x:c>
      <x:c r="B72" s="24" t="str">
        <x:v>鼓楼区</x:v>
      </x:c>
      <x:c r="C72" s="24" t="str">
        <x:v>电力交易员</x:v>
      </x:c>
      <x:c r="D72" s="24" t="str">
        <x:v>振源售电</x:v>
      </x:c>
      <x:c r="E72" s="24" t="str">
        <x:v>6-10K</x:v>
      </x:c>
      <x:c r="F72" s="25" t="n">
        <x:v>6</x:v>
      </x:c>
      <x:c r="G72" s="24" t="str"/>
      <x:c r="H72" s="24" t="str"/>
    </x:row>
    <x:row r="73">
      <x:c r="A73" s="24" t="str">
        <x:v>南京</x:v>
      </x:c>
      <x:c r="B73" s="24" t="str">
        <x:v>玄武区</x:v>
      </x:c>
      <x:c r="C73" s="24" t="str">
        <x:v>光伏系统工程师</x:v>
      </x:c>
      <x:c r="D73" s="24" t="str">
        <x:v>江苏澜起工程技术</x:v>
      </x:c>
      <x:c r="E73" s="24" t="str">
        <x:v>6-10K</x:v>
      </x:c>
      <x:c r="F73" s="25" t="n">
        <x:v>6</x:v>
      </x:c>
      <x:c r="G73" s="24" t="str"/>
      <x:c r="H73" s="24" t="str"/>
    </x:row>
    <x:row r="74">
      <x:c r="A74" s="24" t="str">
        <x:v>南京</x:v>
      </x:c>
      <x:c r="B74" s="24" t="str">
        <x:v>玄武区</x:v>
      </x:c>
      <x:c r="C74" s="24" t="str">
        <x:v>海外新能源电气工程师</x:v>
      </x:c>
      <x:c r="D74" s="24" t="str">
        <x:v>苏美达</x:v>
      </x:c>
      <x:c r="E74" s="24" t="str">
        <x:v>20-25K</x:v>
      </x:c>
      <x:c r="F74" s="25" t="n">
        <x:v>20</x:v>
      </x:c>
      <x:c r="G74" s="24" t="str"/>
      <x:c r="H74" s="24" t="str"/>
    </x:row>
    <x:row r="75">
      <x:c r="A75" s="24" t="str">
        <x:v>南京</x:v>
      </x:c>
      <x:c r="B75" s="24" t="str">
        <x:v>江宁区</x:v>
      </x:c>
      <x:c r="C75" s="24" t="str">
        <x:v>电气工程师（接受应届）</x:v>
      </x:c>
      <x:c r="D75" s="24" t="str">
        <x:v>江苏信鸿数据技术</x:v>
      </x:c>
      <x:c r="E75" s="24" t="str">
        <x:v>7-12K·13薪</x:v>
      </x:c>
      <x:c r="F75" s="25" t="n">
        <x:v>7</x:v>
      </x:c>
      <x:c r="G75" s="24" t="str"/>
      <x:c r="H75" s="24" t="str"/>
    </x:row>
    <x:row r="76">
      <x:c r="A76" s="24" t="str">
        <x:v>南京</x:v>
      </x:c>
      <x:c r="B76" s="24" t="str">
        <x:v>江宁区</x:v>
      </x:c>
      <x:c r="C76" s="24" t="str">
        <x:v>硬件工程师</x:v>
      </x:c>
      <x:c r="D76" s="24" t="str">
        <x:v>中兴通讯</x:v>
      </x:c>
      <x:c r="E76" s="24" t="str">
        <x:v>15-20K</x:v>
      </x:c>
      <x:c r="F76" s="25" t="n">
        <x:v>15</x:v>
      </x:c>
      <x:c r="G76" s="24" t="str"/>
      <x:c r="H76" s="24" t="str"/>
    </x:row>
    <x:row r="77">
      <x:c r="A77" s="24" t="str">
        <x:v>南京</x:v>
      </x:c>
      <x:c r="B77" s="24" t="str">
        <x:v>雨花台区</x:v>
      </x:c>
      <x:c r="C77" s="24" t="str">
        <x:v>单板硬件技术工程师</x:v>
      </x:c>
      <x:c r="D77" s="24" t="str">
        <x:v>上海华为技术有限公司</x:v>
      </x:c>
      <x:c r="E77" s="24" t="str">
        <x:v>20-35K·14薪</x:v>
      </x:c>
      <x:c r="F77" s="25" t="n">
        <x:v>20</x:v>
      </x:c>
      <x:c r="G77" s="24" t="str"/>
      <x:c r="H77" s="24" t="str"/>
    </x:row>
    <x:row r="78">
      <x:c r="A78" s="24" t="str">
        <x:v>南京</x:v>
      </x:c>
      <x:c r="B78" s="24" t="str">
        <x:v>雨花台区</x:v>
      </x:c>
      <x:c r="C78" s="24" t="str">
        <x:v>电力技术服务工程师（南京）</x:v>
      </x:c>
      <x:c r="D78" s="24" t="str">
        <x:v>乐帆</x:v>
      </x:c>
      <x:c r="E78" s="24" t="str">
        <x:v>6-8K</x:v>
      </x:c>
      <x:c r="F78" s="25" t="n">
        <x:v>6</x:v>
      </x:c>
      <x:c r="G78" s="24" t="str"/>
      <x:c r="H78" s="24" t="str"/>
    </x:row>
    <x:row r="79">
      <x:c r="A79" s="24" t="str">
        <x:v>南京</x:v>
      </x:c>
      <x:c r="B79" s="24" t="str">
        <x:v>江宁区</x:v>
      </x:c>
      <x:c r="C79" s="24" t="str">
        <x:v>伺服测试工程师</x:v>
      </x:c>
      <x:c r="D79" s="24" t="str">
        <x:v>南京来福谐波科技</x:v>
      </x:c>
      <x:c r="E79" s="24" t="str">
        <x:v>6-10K·13薪</x:v>
      </x:c>
      <x:c r="F79" s="25" t="n">
        <x:v>6</x:v>
      </x:c>
      <x:c r="G79" s="24" t="str"/>
      <x:c r="H79" s="24" t="str"/>
    </x:row>
    <x:row r="80">
      <x:c r="A80" s="24" t="str">
        <x:v>南京</x:v>
      </x:c>
      <x:c r="B80" s="24" t="str">
        <x:v>雨花台区</x:v>
      </x:c>
      <x:c r="C80" s="24" t="str">
        <x:v>开关电源硬件工程师</x:v>
      </x:c>
      <x:c r="D80" s="24" t="str">
        <x:v>南京杰芯源科技</x:v>
      </x:c>
      <x:c r="E80" s="24" t="str">
        <x:v>6-11K·14薪</x:v>
      </x:c>
      <x:c r="F80" s="25" t="n">
        <x:v>6</x:v>
      </x:c>
      <x:c r="G80" s="24" t="str"/>
      <x:c r="H80" s="24" t="str"/>
    </x:row>
    <x:row r="81">
      <x:c r="A81" s="24" t="str">
        <x:v>南京</x:v>
      </x:c>
      <x:c r="B81" s="24" t="str">
        <x:v>秦淮区</x:v>
      </x:c>
      <x:c r="C81" s="24" t="str">
        <x:v>ROS 机器人工程师</x:v>
      </x:c>
      <x:c r="D81" s="24" t="str">
        <x:v>墨问科技</x:v>
      </x:c>
      <x:c r="E81" s="24" t="str">
        <x:v>6-10K</x:v>
      </x:c>
      <x:c r="F81" s="25" t="n">
        <x:v>6</x:v>
      </x:c>
      <x:c r="G81" s="24" t="str"/>
      <x:c r="H81" s="24" t="str"/>
    </x:row>
    <x:row r="82">
      <x:c r="A82" s="24" t="str">
        <x:v>南京</x:v>
      </x:c>
      <x:c r="B82" s="24" t="str">
        <x:v>玄武区</x:v>
      </x:c>
      <x:c r="C82" s="24" t="str">
        <x:v>弱电智能化工程师</x:v>
      </x:c>
      <x:c r="D82" s="24" t="str">
        <x:v>苏格汇通</x:v>
      </x:c>
      <x:c r="E82" s="24" t="str">
        <x:v>4-5K</x:v>
      </x:c>
      <x:c r="F82" s="25" t="n">
        <x:v>4</x:v>
      </x:c>
      <x:c r="G82" s="24" t="str"/>
      <x:c r="H82" s="24" t="str"/>
    </x:row>
    <x:row r="83">
      <x:c r="A83" s="24" t="str">
        <x:v>南京</x:v>
      </x:c>
      <x:c r="B83" s="24" t="str">
        <x:v>栖霞区</x:v>
      </x:c>
      <x:c r="C83" s="24" t="str">
        <x:v>PCB画图 AD</x:v>
      </x:c>
      <x:c r="D83" s="24" t="str">
        <x:v>南京傲屹电子</x:v>
      </x:c>
      <x:c r="E83" s="24" t="str">
        <x:v>8-13K</x:v>
      </x:c>
      <x:c r="F83" s="25" t="n">
        <x:v>8</x:v>
      </x:c>
      <x:c r="G83" s="24" t="str"/>
      <x:c r="H83" s="24" t="str"/>
    </x:row>
    <x:row r="84">
      <x:c r="A84" s="24" t="str">
        <x:v>南京</x:v>
      </x:c>
      <x:c r="B84" s="24" t="str">
        <x:v>雨花台区</x:v>
      </x:c>
      <x:c r="C84" s="24" t="str">
        <x:v>27届校园招聘—硬件测试工程师(J10532)</x:v>
      </x:c>
      <x:c r="D84" s="24" t="str">
        <x:v>科威尔</x:v>
      </x:c>
      <x:c r="E84" s="24" t="str">
        <x:v>6-9K</x:v>
      </x:c>
      <x:c r="F84" s="25" t="n">
        <x:v>6</x:v>
      </x:c>
      <x:c r="G84" s="24" t="str"/>
      <x:c r="H84" s="24" t="str"/>
    </x:row>
    <x:row r="85">
      <x:c r="A85" s="24" t="str">
        <x:v>南京</x:v>
      </x:c>
      <x:c r="B85" s="24" t="str">
        <x:v>江宁区</x:v>
      </x:c>
      <x:c r="C85" s="24" t="str">
        <x:v>电子工程师-应届 工作地：南京 (MJ005087)</x:v>
      </x:c>
      <x:c r="D85" s="24" t="str">
        <x:v>延电科技有限责任公司</x:v>
      </x:c>
      <x:c r="E85" s="24" t="str">
        <x:v>10-12K</x:v>
      </x:c>
      <x:c r="F85" s="25" t="n">
        <x:v>10</x:v>
      </x:c>
      <x:c r="G85" s="24" t="str"/>
      <x:c r="H85" s="24" t="str"/>
    </x:row>
    <x:row r="86">
      <x:c r="A86" s="24" t="str">
        <x:v>南京</x:v>
      </x:c>
      <x:c r="B86" s="24" t="str"/>
      <x:c r="C86" s="24" t="str">
        <x:v>电子工程师助理（硬件）</x:v>
      </x:c>
      <x:c r="D86" s="24" t="str">
        <x:v>大翼航空</x:v>
      </x:c>
      <x:c r="E86" s="24" t="str">
        <x:v>2-5K</x:v>
      </x:c>
      <x:c r="F86" s="25" t="n">
        <x:v>2</x:v>
      </x:c>
      <x:c r="G86" s="24" t="str"/>
      <x:c r="H86" s="24" t="str"/>
    </x:row>
    <x:row r="87">
      <x:c r="A87" s="24" t="str">
        <x:v>南京</x:v>
      </x:c>
      <x:c r="B87" s="24" t="str">
        <x:v>江宁区</x:v>
      </x:c>
      <x:c r="C87" s="24" t="str">
        <x:v>硬件工程师（应届）</x:v>
      </x:c>
      <x:c r="D87" s="24" t="str">
        <x:v>瀚海伏羲</x:v>
      </x:c>
      <x:c r="E87" s="24" t="str">
        <x:v>6-8K·13薪</x:v>
      </x:c>
      <x:c r="F87" s="25" t="n">
        <x:v>6</x:v>
      </x:c>
      <x:c r="G87" s="24" t="str"/>
      <x:c r="H87" s="24" t="str"/>
    </x:row>
    <x:row r="88">
      <x:c r="A88" s="24" t="str">
        <x:v>南京</x:v>
      </x:c>
      <x:c r="B88" s="24" t="str">
        <x:v>雨花台区</x:v>
      </x:c>
      <x:c r="C88" s="24" t="str">
        <x:v>电气技术应届毕业生</x:v>
      </x:c>
      <x:c r="D88" s="24" t="str">
        <x:v>阿葛斯</x:v>
      </x:c>
      <x:c r="E88" s="24" t="str">
        <x:v>4-8K·14薪</x:v>
      </x:c>
      <x:c r="F88" s="25" t="n">
        <x:v>4</x:v>
      </x:c>
      <x:c r="G88" s="24" t="str"/>
      <x:c r="H88" s="24" t="str"/>
    </x:row>
    <x:row r="89">
      <x:c r="A89" s="24" t="str">
        <x:v>南京</x:v>
      </x:c>
      <x:c r="B89" s="24" t="str">
        <x:v>江宁区</x:v>
      </x:c>
      <x:c r="C89" s="24" t="str">
        <x:v>硬件工程师-电机控制</x:v>
      </x:c>
      <x:c r="D89" s="24" t="str">
        <x:v>因克斯智能科技</x:v>
      </x:c>
      <x:c r="E89" s="24" t="str">
        <x:v>12-22K·13薪</x:v>
      </x:c>
      <x:c r="F89" s="25" t="n">
        <x:v>12</x:v>
      </x:c>
      <x:c r="G89" s="24" t="str"/>
      <x:c r="H89" s="24" t="str"/>
    </x:row>
    <x:row r="90">
      <x:c r="A90" s="24" t="str">
        <x:v>南京</x:v>
      </x:c>
      <x:c r="B90" s="24" t="str">
        <x:v>江宁区</x:v>
      </x:c>
      <x:c r="C90" s="24" t="str">
        <x:v>电气工程师</x:v>
      </x:c>
      <x:c r="D90" s="24" t="str">
        <x:v>南京永成包装自动化</x:v>
      </x:c>
      <x:c r="E90" s="24" t="str">
        <x:v>7-10K·13薪</x:v>
      </x:c>
      <x:c r="F90" s="25" t="n">
        <x:v>7</x:v>
      </x:c>
      <x:c r="G90" s="24" t="str"/>
      <x:c r="H90" s="24" t="str"/>
    </x:row>
    <x:row r="91">
      <x:c r="A91" s="24" t="str">
        <x:v>南京</x:v>
      </x:c>
      <x:c r="B91" s="24" t="str">
        <x:v>建邺区</x:v>
      </x:c>
      <x:c r="C91" s="24" t="str">
        <x:v>电气管培生</x:v>
      </x:c>
      <x:c r="D91" s="24" t="str">
        <x:v>协鑫能科</x:v>
      </x:c>
      <x:c r="E91" s="24" t="str">
        <x:v>6-11K·13薪</x:v>
      </x:c>
      <x:c r="F91" s="25" t="n">
        <x:v>6</x:v>
      </x:c>
      <x:c r="G91" s="24" t="str"/>
      <x:c r="H91" s="24" t="str"/>
    </x:row>
    <x:row r="92">
      <x:c r="A92" s="24" t="str">
        <x:v>南京</x:v>
      </x:c>
      <x:c r="B92" s="24" t="str"/>
      <x:c r="C92" s="24" t="str">
        <x:v>智能汽车开发工程师-campus-2027-南京电气</x:v>
      </x:c>
      <x:c r="D92" s="24" t="str">
        <x:v>经纬恒润</x:v>
      </x:c>
      <x:c r="E92" s="24" t="str">
        <x:v>15-30K·15薪</x:v>
      </x:c>
      <x:c r="F92" s="25" t="n">
        <x:v>15</x:v>
      </x:c>
      <x:c r="G92" s="24" t="str"/>
      <x:c r="H92" s="24" t="str"/>
    </x:row>
    <x:row r="93">
      <x:c r="A93" s="24" t="str">
        <x:v>南京</x:v>
      </x:c>
      <x:c r="B93" s="24" t="str">
        <x:v>江宁区</x:v>
      </x:c>
      <x:c r="C93" s="24" t="str">
        <x:v>机械电气工程师</x:v>
      </x:c>
      <x:c r="D93" s="24" t="str">
        <x:v>真空泵厂</x:v>
      </x:c>
      <x:c r="E93" s="24" t="str">
        <x:v>7-12K</x:v>
      </x:c>
      <x:c r="F93" s="25" t="n">
        <x:v>7</x:v>
      </x:c>
      <x:c r="G93" s="24" t="str"/>
      <x:c r="H93" s="24" t="str"/>
    </x:row>
    <x:row r="94">
      <x:c r="A94" s="24" t="str">
        <x:v>南京</x:v>
      </x:c>
      <x:c r="B94" s="24" t="str">
        <x:v>雨花台区</x:v>
      </x:c>
      <x:c r="C94" s="24" t="str">
        <x:v>硬件工程师</x:v>
      </x:c>
      <x:c r="D94" s="24" t="str">
        <x:v>苏州华为</x:v>
      </x:c>
      <x:c r="E94" s="24" t="str">
        <x:v>20-30K</x:v>
      </x:c>
      <x:c r="F94" s="25" t="n">
        <x:v>20</x:v>
      </x:c>
      <x:c r="G94" s="24" t="str"/>
      <x:c r="H94" s="24" t="str"/>
    </x:row>
    <x:row r="95">
      <x:c r="A95" s="24" t="str">
        <x:v>南京</x:v>
      </x:c>
      <x:c r="B95" s="24" t="str">
        <x:v>江宁区</x:v>
      </x:c>
      <x:c r="C95" s="24" t="str">
        <x:v>硬件工程师</x:v>
      </x:c>
      <x:c r="D95" s="24" t="str">
        <x:v>南京名都</x:v>
      </x:c>
      <x:c r="E95" s="24" t="str">
        <x:v>5-8K</x:v>
      </x:c>
      <x:c r="F95" s="25" t="n">
        <x:v>5</x:v>
      </x:c>
      <x:c r="G95" s="24" t="str"/>
      <x:c r="H95" s="24" t="str"/>
    </x:row>
    <x:row r="96">
      <x:c r="A96" s="24" t="str">
        <x:v>南京</x:v>
      </x:c>
      <x:c r="B96" s="24" t="str">
        <x:v>雨花台区</x:v>
      </x:c>
      <x:c r="C96" s="24" t="str">
        <x:v>硬件工程师</x:v>
      </x:c>
      <x:c r="D96" s="24" t="str">
        <x:v>华为南京</x:v>
      </x:c>
      <x:c r="E96" s="24" t="str">
        <x:v>15-22K·15薪</x:v>
      </x:c>
      <x:c r="F96" s="25" t="n">
        <x:v>15</x:v>
      </x:c>
      <x:c r="G96" s="24" t="str"/>
      <x:c r="H96" s="24" t="str"/>
    </x:row>
    <x:row r="97">
      <x:c r="A97" s="24" t="str">
        <x:v>南京</x:v>
      </x:c>
      <x:c r="B97" s="24" t="str">
        <x:v>雨花台区</x:v>
      </x:c>
      <x:c r="C97" s="24" t="str">
        <x:v>硬件测试工程师 (MJ000268)</x:v>
      </x:c>
      <x:c r="D97" s="24" t="str">
        <x:v>海德斯</x:v>
      </x:c>
      <x:c r="E97" s="24" t="str">
        <x:v>10-15K</x:v>
      </x:c>
      <x:c r="F97" s="25" t="n">
        <x:v>10</x:v>
      </x:c>
      <x:c r="G97" s="24" t="str"/>
      <x:c r="H97" s="24" t="str"/>
    </x:row>
    <x:row r="98">
      <x:c r="A98" s="24" t="str">
        <x:v>南京</x:v>
      </x:c>
      <x:c r="B98" s="24" t="str">
        <x:v>江宁区</x:v>
      </x:c>
      <x:c r="C98" s="24" t="str">
        <x:v>硬件工程师</x:v>
      </x:c>
      <x:c r="D98" s="24" t="str">
        <x:v>国兆光电</x:v>
      </x:c>
      <x:c r="E98" s="24" t="str">
        <x:v>7-10K</x:v>
      </x:c>
      <x:c r="F98" s="25" t="n">
        <x:v>7</x:v>
      </x:c>
      <x:c r="G98" s="24" t="str"/>
      <x:c r="H98" s="24" t="str"/>
    </x:row>
    <x:row r="99">
      <x:c r="A99" s="24" t="str">
        <x:v>南京</x:v>
      </x:c>
      <x:c r="B99" s="24" t="str">
        <x:v>雨花台区</x:v>
      </x:c>
      <x:c r="C99" s="24" t="str">
        <x:v>【校招】单板/逻辑——硬件技术工程师</x:v>
      </x:c>
      <x:c r="D99" s="24" t="str">
        <x:v>上海华为技术有限公司</x:v>
      </x:c>
      <x:c r="E99" s="24" t="str">
        <x:v>20-30K</x:v>
      </x:c>
      <x:c r="F99" s="25" t="n">
        <x:v>20</x:v>
      </x:c>
      <x:c r="G99" s="24" t="str"/>
      <x:c r="H99" s="24" t="str"/>
    </x:row>
    <x:row r="100">
      <x:c r="A100" s="24" t="str">
        <x:v>南京</x:v>
      </x:c>
      <x:c r="B100" s="24" t="str">
        <x:v>栖霞区</x:v>
      </x:c>
      <x:c r="C100" s="24" t="str">
        <x:v>硬件工程师</x:v>
      </x:c>
      <x:c r="D100" s="24" t="str">
        <x:v>霞智科技</x:v>
      </x:c>
      <x:c r="E100" s="24" t="str">
        <x:v>15-20K</x:v>
      </x:c>
      <x:c r="F100" s="25" t="n">
        <x:v>15</x:v>
      </x:c>
      <x:c r="G100" s="24" t="str"/>
      <x:c r="H100" s="24" t="str"/>
    </x:row>
    <x:row r="101">
      <x:c r="A101" s="24" t="str">
        <x:v>南京</x:v>
      </x:c>
      <x:c r="B101" s="24" t="str"/>
      <x:c r="C101" s="24" t="str">
        <x:v>嵌入式硬件工程师（应届/实习）</x:v>
      </x:c>
      <x:c r="D101" s="24" t="str">
        <x:v>小牛</x:v>
      </x:c>
      <x:c r="E101" s="24" t="str">
        <x:v>8-11K·13薪</x:v>
      </x:c>
      <x:c r="F101" s="25" t="n">
        <x:v>8</x:v>
      </x:c>
      <x:c r="G101" s="24" t="str"/>
      <x:c r="H101" s="24" t="str"/>
    </x:row>
    <x:row r="102">
      <x:c r="A102" s="24" t="str">
        <x:v>南京</x:v>
      </x:c>
      <x:c r="B102" s="24" t="str">
        <x:v>江宁区</x:v>
      </x:c>
      <x:c r="C102" s="24" t="str">
        <x:v>硬件测试工程师</x:v>
      </x:c>
      <x:c r="D102" s="24" t="str">
        <x:v>想想</x:v>
      </x:c>
      <x:c r="E102" s="24" t="str">
        <x:v>4-6K·15薪</x:v>
      </x:c>
      <x:c r="F102" s="25" t="n">
        <x:v>4</x:v>
      </x:c>
      <x:c r="G102" s="24" t="str"/>
      <x:c r="H102" s="24" t="str"/>
    </x:row>
    <x:row r="103">
      <x:c r="A103" s="24" t="str">
        <x:v>南京</x:v>
      </x:c>
      <x:c r="B103" s="24" t="str">
        <x:v>栖霞区</x:v>
      </x:c>
      <x:c r="C103" s="24" t="str">
        <x:v>电子工程师</x:v>
      </x:c>
      <x:c r="D103" s="24" t="str">
        <x:v>库湃量子</x:v>
      </x:c>
      <x:c r="E103" s="24" t="str">
        <x:v>8-9K</x:v>
      </x:c>
      <x:c r="F103" s="25" t="n">
        <x:v>8</x:v>
      </x:c>
      <x:c r="G103" s="24" t="str"/>
      <x:c r="H103" s="24" t="str"/>
    </x:row>
    <x:row r="104">
      <x:c r="A104" s="24" t="str">
        <x:v>南京</x:v>
      </x:c>
      <x:c r="B104" s="24" t="str">
        <x:v>江宁区</x:v>
      </x:c>
      <x:c r="C104" s="24" t="str">
        <x:v>硬件测试</x:v>
      </x:c>
      <x:c r="D104" s="24" t="str">
        <x:v>泓帆动力</x:v>
      </x:c>
      <x:c r="E104" s="24" t="str">
        <x:v>7-8K</x:v>
      </x:c>
      <x:c r="F104" s="25" t="n">
        <x:v>7</x:v>
      </x:c>
      <x:c r="G104" s="24" t="str"/>
      <x:c r="H104" s="24" t="str"/>
    </x:row>
    <x:row r="105">
      <x:c r="A105" s="24" t="str">
        <x:v>南京</x:v>
      </x:c>
      <x:c r="B105" s="24" t="str">
        <x:v>六合区</x:v>
      </x:c>
      <x:c r="C105" s="24" t="str">
        <x:v>（中旗）仪表技术员</x:v>
      </x:c>
      <x:c r="D105" s="24" t="str">
        <x:v>中旗</x:v>
      </x:c>
      <x:c r="E105" s="24" t="str">
        <x:v>6-8K</x:v>
      </x:c>
      <x:c r="F105" s="25" t="n">
        <x:v>6</x:v>
      </x:c>
      <x:c r="G105" s="24" t="str"/>
      <x:c r="H105" s="24" t="str"/>
    </x:row>
    <x:row r="106">
      <x:c r="A106" s="24" t="str">
        <x:v>南通</x:v>
      </x:c>
      <x:c r="B106" s="24" t="str"/>
      <x:c r="C106" s="24" t="str">
        <x:v>光伏/电力系统工程师</x:v>
      </x:c>
      <x:c r="D106" s="24" t="str">
        <x:v>江苏品正电力设计</x:v>
      </x:c>
      <x:c r="E106" s="24" t="str">
        <x:v>6-8K</x:v>
      </x:c>
      <x:c r="F106" s="25" t="n">
        <x:v>6</x:v>
      </x:c>
      <x:c r="G106" s="24" t="str"/>
      <x:c r="H106" s="24" t="str"/>
    </x:row>
    <x:row r="107">
      <x:c r="A107" s="24" t="str">
        <x:v>南通</x:v>
      </x:c>
      <x:c r="B107" s="24" t="str"/>
      <x:c r="C107" s="24" t="str">
        <x:v>电气技术员</x:v>
      </x:c>
      <x:c r="D107" s="24" t="str">
        <x:v>江苏恒力</x:v>
      </x:c>
      <x:c r="E107" s="24" t="str">
        <x:v>6-9K</x:v>
      </x:c>
      <x:c r="F107" s="25" t="n">
        <x:v>6</x:v>
      </x:c>
      <x:c r="G107" s="24" t="str"/>
      <x:c r="H107" s="24" t="str"/>
    </x:row>
    <x:row r="108">
      <x:c r="A108" s="24" t="str">
        <x:v>南通</x:v>
      </x:c>
      <x:c r="B108" s="24" t="str"/>
      <x:c r="C108" s="24" t="str">
        <x:v>工艺/设备工程师（校园招聘）</x:v>
      </x:c>
      <x:c r="D108" s="24" t="str">
        <x:v>通富微电</x:v>
      </x:c>
      <x:c r="E108" s="24" t="str">
        <x:v>6-10K·14薪</x:v>
      </x:c>
      <x:c r="F108" s="25" t="n">
        <x:v>6</x:v>
      </x:c>
      <x:c r="G108" s="24" t="str"/>
      <x:c r="H108" s="24" t="str"/>
    </x:row>
    <x:row r="109">
      <x:c r="A109" s="24" t="str">
        <x:v>南通</x:v>
      </x:c>
      <x:c r="B109" s="24" t="str">
        <x:v>启东市</x:v>
      </x:c>
      <x:c r="C109" s="24" t="str">
        <x:v>电子工程师（苏州上海、清北院校）</x:v>
      </x:c>
      <x:c r="D109" s="24" t="str">
        <x:v>东成机电</x:v>
      </x:c>
      <x:c r="E109" s="24" t="str">
        <x:v>35-65K·14薪</x:v>
      </x:c>
      <x:c r="F109" s="25" t="n">
        <x:v>35</x:v>
      </x:c>
      <x:c r="G109" s="24" t="str"/>
      <x:c r="H109" s="24" t="str"/>
    </x:row>
    <x:row r="110">
      <x:c r="A110" s="24" t="str">
        <x:v>南通</x:v>
      </x:c>
      <x:c r="B110" s="24" t="str"/>
      <x:c r="C110" s="24" t="str">
        <x:v>硬件工程师</x:v>
      </x:c>
      <x:c r="D110" s="24" t="str">
        <x:v>南通晞核光电有限公司</x:v>
      </x:c>
      <x:c r="E110" s="24" t="str">
        <x:v>6-7K·13薪</x:v>
      </x:c>
      <x:c r="F110" s="25" t="n">
        <x:v>6</x:v>
      </x:c>
      <x:c r="G110" s="24" t="str"/>
      <x:c r="H110" s="24" t="str"/>
    </x:row>
    <x:row r="111">
      <x:c r="A111" s="24" t="str">
        <x:v>南通</x:v>
      </x:c>
      <x:c r="B111" s="24" t="str"/>
      <x:c r="C111" s="24" t="str">
        <x:v>硬件研发工程师（南通）(J10030)</x:v>
      </x:c>
      <x:c r="D111" s="24" t="str">
        <x:v>testrong</x:v>
      </x:c>
      <x:c r="E111" s="24" t="str">
        <x:v>4-6K</x:v>
      </x:c>
      <x:c r="F111" s="25" t="n">
        <x:v>4</x:v>
      </x:c>
      <x:c r="G111" s="24" t="str"/>
      <x:c r="H111" s="24" t="str"/>
    </x:row>
    <x:row r="112">
      <x:c r="A112" s="24" t="str">
        <x:v>南通</x:v>
      </x:c>
      <x:c r="B112" s="24" t="str"/>
      <x:c r="C112" s="24" t="str">
        <x:v>初级硬件工程师</x:v>
      </x:c>
      <x:c r="D112" s="24" t="str">
        <x:v>南通嘉骏信息科技</x:v>
      </x:c>
      <x:c r="E112" s="24" t="str">
        <x:v>6-10K</x:v>
      </x:c>
      <x:c r="F112" s="25" t="n">
        <x:v>6</x:v>
      </x:c>
      <x:c r="G112" s="24" t="str"/>
      <x:c r="H112" s="24" t="str"/>
    </x:row>
    <x:row r="113">
      <x:c r="A113" s="24" t="str">
        <x:v>南通</x:v>
      </x:c>
      <x:c r="B113" s="24" t="str"/>
      <x:c r="C113" s="24" t="str">
        <x:v>电气工程师</x:v>
      </x:c>
      <x:c r="D113" s="24" t="str">
        <x:v>中天电气</x:v>
      </x:c>
      <x:c r="E113" s="24" t="str">
        <x:v>7-12K</x:v>
      </x:c>
      <x:c r="F113" s="25" t="n">
        <x:v>7</x:v>
      </x:c>
      <x:c r="G113" s="24" t="str"/>
      <x:c r="H113" s="24" t="str"/>
    </x:row>
    <x:row r="114">
      <x:c r="A114" s="24" t="str">
        <x:v>南通</x:v>
      </x:c>
      <x:c r="B114" s="24" t="str"/>
      <x:c r="C114" s="24" t="str">
        <x:v>设备工程师</x:v>
      </x:c>
      <x:c r="D114" s="24" t="str">
        <x:v>上海中天铝线</x:v>
      </x:c>
      <x:c r="E114" s="24" t="str">
        <x:v>6-10K</x:v>
      </x:c>
      <x:c r="F114" s="25" t="n">
        <x:v>6</x:v>
      </x:c>
      <x:c r="G114" s="24" t="str">
        <x:v>是</x:v>
      </x:c>
      <x:c r="H114" s="24" t="str">
        <x:v>是</x:v>
      </x:c>
    </x:row>
    <x:row r="115">
      <x:c r="A115" s="24" t="str">
        <x:v>南通</x:v>
      </x:c>
      <x:c r="B115" s="24" t="str"/>
      <x:c r="C115" s="24" t="str">
        <x:v>机电工程师</x:v>
      </x:c>
      <x:c r="D115" s="24" t="str">
        <x:v>南通天原通能源科技</x:v>
      </x:c>
      <x:c r="E115" s="24" t="str">
        <x:v>5-6K</x:v>
      </x:c>
      <x:c r="F115" s="25" t="n">
        <x:v>5</x:v>
      </x:c>
      <x:c r="G115" s="24" t="str"/>
      <x:c r="H115" s="24" t="str"/>
    </x:row>
    <x:row r="116">
      <x:c r="A116" s="24" t="str">
        <x:v>南通</x:v>
      </x:c>
      <x:c r="B116" s="24" t="str"/>
      <x:c r="C116" s="24" t="str">
        <x:v>设备工程师</x:v>
      </x:c>
      <x:c r="D116" s="24" t="str">
        <x:v>中天科技</x:v>
      </x:c>
      <x:c r="E116" s="24" t="str">
        <x:v>6-11K</x:v>
      </x:c>
      <x:c r="F116" s="25" t="n">
        <x:v>6</x:v>
      </x:c>
      <x:c r="G116" s="24" t="str">
        <x:v>是</x:v>
      </x:c>
      <x:c r="H116" s="24" t="str"/>
    </x:row>
    <x:row r="117">
      <x:c r="A117" s="24" t="str">
        <x:v>南通</x:v>
      </x:c>
      <x:c r="B117" s="24" t="str"/>
      <x:c r="C117" s="24" t="str">
        <x:v>设备工程师（2027届）</x:v>
      </x:c>
      <x:c r="D117" s="24" t="str">
        <x:v>江苏海四达电源</x:v>
      </x:c>
      <x:c r="E117" s="24" t="str">
        <x:v>6-8K</x:v>
      </x:c>
      <x:c r="F117" s="25" t="n">
        <x:v>6</x:v>
      </x:c>
      <x:c r="G117" s="24" t="str">
        <x:v>是</x:v>
      </x:c>
      <x:c r="H117" s="24" t="str">
        <x:v>是</x:v>
      </x:c>
    </x:row>
    <x:row r="118">
      <x:c r="A118" s="24" t="str">
        <x:v>南通</x:v>
      </x:c>
      <x:c r="B118" s="24" t="str">
        <x:v>如皋市</x:v>
      </x:c>
      <x:c r="C118" s="24" t="str">
        <x:v>半导体设备工程师</x:v>
      </x:c>
      <x:c r="D118" s="24" t="str">
        <x:v>如皋兴荣芯半导体科技</x:v>
      </x:c>
      <x:c r="E118" s="24" t="str">
        <x:v>5-6K·13薪</x:v>
      </x:c>
      <x:c r="F118" s="25" t="n">
        <x:v>5</x:v>
      </x:c>
      <x:c r="G118" s="24" t="str">
        <x:v>是</x:v>
      </x:c>
      <x:c r="H118" s="24" t="str"/>
    </x:row>
    <x:row r="119">
      <x:c r="A119" s="24" t="str">
        <x:v>台州</x:v>
      </x:c>
      <x:c r="B119" s="24" t="str"/>
      <x:c r="C119" s="24" t="str">
        <x:v>27届校招-研发岗（电气/控制/电机类）</x:v>
      </x:c>
      <x:c r="D119" s="24" t="str">
        <x:v>鑫磊股份</x:v>
      </x:c>
      <x:c r="E119" s="24" t="str">
        <x:v>8-13K·13薪</x:v>
      </x:c>
      <x:c r="F119" s="25" t="n">
        <x:v>8</x:v>
      </x:c>
      <x:c r="G119" s="24" t="str"/>
      <x:c r="H119" s="24" t="str"/>
    </x:row>
    <x:row r="120">
      <x:c r="A120" s="24" t="str">
        <x:v>台州</x:v>
      </x:c>
      <x:c r="B120" s="24" t="str"/>
      <x:c r="C120" s="24" t="str">
        <x:v>资深硬件工程师</x:v>
      </x:c>
      <x:c r="D120" s="24" t="str">
        <x:v>艾尔森科技</x:v>
      </x:c>
      <x:c r="E120" s="24" t="str">
        <x:v>5-8K</x:v>
      </x:c>
      <x:c r="F120" s="25" t="n">
        <x:v>5</x:v>
      </x:c>
      <x:c r="G120" s="24" t="str"/>
      <x:c r="H120" s="24" t="str"/>
    </x:row>
    <x:row r="121">
      <x:c r="A121" s="24" t="str">
        <x:v>台州</x:v>
      </x:c>
      <x:c r="B121" s="24" t="str"/>
      <x:c r="C121" s="24" t="str">
        <x:v>电机电磁设计工程师</x:v>
      </x:c>
      <x:c r="D121" s="24" t="str">
        <x:v>冠宏</x:v>
      </x:c>
      <x:c r="E121" s="24" t="str">
        <x:v>5-10K</x:v>
      </x:c>
      <x:c r="F121" s="25" t="n">
        <x:v>5</x:v>
      </x:c>
      <x:c r="G121" s="24" t="str"/>
      <x:c r="H121" s="24" t="str"/>
    </x:row>
    <x:row r="122">
      <x:c r="A122" s="24" t="str">
        <x:v>台州</x:v>
      </x:c>
      <x:c r="B122" s="24" t="str"/>
      <x:c r="C122" s="24" t="str">
        <x:v>电子工程师</x:v>
      </x:c>
      <x:c r="D122" s="24" t="str">
        <x:v>屹晶微电子</x:v>
      </x:c>
      <x:c r="E122" s="24" t="str">
        <x:v>5-10K</x:v>
      </x:c>
      <x:c r="F122" s="25" t="n">
        <x:v>5</x:v>
      </x:c>
      <x:c r="G122" s="24" t="str"/>
      <x:c r="H122" s="24" t="str"/>
    </x:row>
    <x:row r="123">
      <x:c r="A123" s="24" t="str">
        <x:v>台州</x:v>
      </x:c>
      <x:c r="B123" s="24" t="str">
        <x:v>温岭市</x:v>
      </x:c>
      <x:c r="C123" s="24" t="str">
        <x:v>电子电气管培生</x:v>
      </x:c>
      <x:c r="D123" s="24" t="str">
        <x:v>吉利科技集团</x:v>
      </x:c>
      <x:c r="E123" s="24" t="str">
        <x:v>4-6K</x:v>
      </x:c>
      <x:c r="F123" s="25" t="n">
        <x:v>4</x:v>
      </x:c>
      <x:c r="G123" s="24" t="str"/>
      <x:c r="H123" s="24" t="str"/>
    </x:row>
    <x:row r="124">
      <x:c r="A124" s="24" t="str">
        <x:v>台州</x:v>
      </x:c>
      <x:c r="B124" s="24" t="str">
        <x:v>天台县</x:v>
      </x:c>
      <x:c r="C124" s="24" t="str">
        <x:v>电控测试工程师</x:v>
      </x:c>
      <x:c r="D124" s="24" t="str">
        <x:v>银轮股份</x:v>
      </x:c>
      <x:c r="E124" s="24" t="str">
        <x:v>6-11K·14薪</x:v>
      </x:c>
      <x:c r="F124" s="25" t="n">
        <x:v>6</x:v>
      </x:c>
      <x:c r="G124" s="24" t="str"/>
      <x:c r="H124" s="24" t="str"/>
    </x:row>
    <x:row r="125">
      <x:c r="A125" s="24" t="str">
        <x:v>台州</x:v>
      </x:c>
      <x:c r="B125" s="24" t="str">
        <x:v>临海市</x:v>
      </x:c>
      <x:c r="C125" s="24" t="str">
        <x:v>电气工程师</x:v>
      </x:c>
      <x:c r="D125" s="24" t="str">
        <x:v>台州范斯拜车辆制造</x:v>
      </x:c>
      <x:c r="E125" s="24" t="str">
        <x:v>5-6K</x:v>
      </x:c>
      <x:c r="F125" s="25" t="n">
        <x:v>5</x:v>
      </x:c>
      <x:c r="G125" s="24" t="str"/>
      <x:c r="H125" s="24" t="str"/>
    </x:row>
    <x:row r="126">
      <x:c r="A126" s="24" t="str">
        <x:v>台州</x:v>
      </x:c>
      <x:c r="B126" s="24" t="str"/>
      <x:c r="C126" s="24" t="str">
        <x:v>自动化工程师助理</x:v>
      </x:c>
      <x:c r="D126" s="24" t="str">
        <x:v>百曼自动化</x:v>
      </x:c>
      <x:c r="E126" s="24" t="str">
        <x:v>5-10K</x:v>
      </x:c>
      <x:c r="F126" s="25" t="n">
        <x:v>5</x:v>
      </x:c>
      <x:c r="G126" s="24" t="str"/>
      <x:c r="H126" s="24" t="str"/>
    </x:row>
    <x:row r="127">
      <x:c r="A127" s="24" t="str">
        <x:v>台州</x:v>
      </x:c>
      <x:c r="B127" s="24" t="str">
        <x:v>路桥区</x:v>
      </x:c>
      <x:c r="C127" s="24" t="str">
        <x:v>应届PLC工程师</x:v>
      </x:c>
      <x:c r="D127" s="24" t="str">
        <x:v>台州灵博自动化系...</x:v>
      </x:c>
      <x:c r="E127" s="24" t="str">
        <x:v>5-6K</x:v>
      </x:c>
      <x:c r="F127" s="25" t="n">
        <x:v>5</x:v>
      </x:c>
      <x:c r="G127" s="24" t="str"/>
      <x:c r="H127" s="24" t="str"/>
    </x:row>
    <x:row r="128">
      <x:c r="A128" s="24" t="str">
        <x:v>嘉兴</x:v>
      </x:c>
      <x:c r="B128" s="24" t="str">
        <x:v>秀洲区</x:v>
      </x:c>
      <x:c r="C128" s="24" t="str">
        <x:v>建筑电气工程师</x:v>
      </x:c>
      <x:c r="D128" s="24" t="str">
        <x:v>蔚蓝能源</x:v>
      </x:c>
      <x:c r="E128" s="24" t="str">
        <x:v>4-6K·13薪</x:v>
      </x:c>
      <x:c r="F128" s="25" t="n">
        <x:v>4</x:v>
      </x:c>
      <x:c r="G128" s="24" t="str"/>
      <x:c r="H128" s="24" t="str"/>
    </x:row>
    <x:row r="129">
      <x:c r="A129" s="24" t="str">
        <x:v>嘉兴</x:v>
      </x:c>
      <x:c r="B129" s="24" t="str"/>
      <x:c r="C129" s="24" t="str">
        <x:v>厂务工程师</x:v>
      </x:c>
      <x:c r="D129" s="24" t="str">
        <x:v>嘉兴矽佳半导体</x:v>
      </x:c>
      <x:c r="E129" s="24" t="str">
        <x:v>5-10K</x:v>
      </x:c>
      <x:c r="F129" s="25" t="n">
        <x:v>5</x:v>
      </x:c>
      <x:c r="G129" s="24" t="str"/>
      <x:c r="H129" s="24" t="str"/>
    </x:row>
    <x:row r="130">
      <x:c r="A130" s="24" t="str">
        <x:v>嘉兴</x:v>
      </x:c>
      <x:c r="B130" s="24" t="str">
        <x:v>桐乡市</x:v>
      </x:c>
      <x:c r="C130" s="24" t="str">
        <x:v>电气助理工程师</x:v>
      </x:c>
      <x:c r="D130" s="24" t="str">
        <x:v>华友钴业</x:v>
      </x:c>
      <x:c r="E130" s="24" t="str">
        <x:v>15-21K</x:v>
      </x:c>
      <x:c r="F130" s="25" t="n">
        <x:v>15</x:v>
      </x:c>
      <x:c r="G130" s="24" t="str"/>
      <x:c r="H130" s="24" t="str"/>
    </x:row>
    <x:row r="131">
      <x:c r="A131" s="24" t="str">
        <x:v>嘉兴</x:v>
      </x:c>
      <x:c r="B131" s="24" t="str"/>
      <x:c r="C131" s="24" t="str">
        <x:v>硬件测试</x:v>
      </x:c>
      <x:c r="D131" s="24" t="str">
        <x:v>赛诺科技服务</x:v>
      </x:c>
      <x:c r="E131" s="24" t="str">
        <x:v>6-10K</x:v>
      </x:c>
      <x:c r="F131" s="25" t="n">
        <x:v>6</x:v>
      </x:c>
      <x:c r="G131" s="24" t="str"/>
      <x:c r="H131" s="24" t="str"/>
    </x:row>
    <x:row r="132">
      <x:c r="A132" s="24" t="str">
        <x:v>嘉兴</x:v>
      </x:c>
      <x:c r="B132" s="24" t="str"/>
      <x:c r="C132" s="24" t="str">
        <x:v>电子工程师（屏幕波形调试）</x:v>
      </x:c>
      <x:c r="D132" s="24" t="str">
        <x:v>汉朔科技</x:v>
      </x:c>
      <x:c r="E132" s="24" t="str">
        <x:v>6-9K</x:v>
      </x:c>
      <x:c r="F132" s="25" t="n">
        <x:v>6</x:v>
      </x:c>
      <x:c r="G132" s="24" t="str"/>
      <x:c r="H132" s="24" t="str"/>
    </x:row>
    <x:row r="133">
      <x:c r="A133" s="24" t="str">
        <x:v>嘉兴</x:v>
      </x:c>
      <x:c r="B133" s="24" t="str">
        <x:v>嘉善县</x:v>
      </x:c>
      <x:c r="C133" s="24" t="str">
        <x:v>建筑机电工程师</x:v>
      </x:c>
      <x:c r="D133" s="24" t="str">
        <x:v>骏诚电力</x:v>
      </x:c>
      <x:c r="E133" s="24" t="str">
        <x:v>5-6K</x:v>
      </x:c>
      <x:c r="F133" s="25" t="n">
        <x:v>5</x:v>
      </x:c>
      <x:c r="G133" s="24" t="str"/>
      <x:c r="H133" s="24" t="str"/>
    </x:row>
    <x:row r="134">
      <x:c r="A134" s="24" t="str">
        <x:v>嘉兴</x:v>
      </x:c>
      <x:c r="B134" s="24" t="str"/>
      <x:c r="C134" s="24" t="str">
        <x:v>助理硬件工程师</x:v>
      </x:c>
      <x:c r="D134" s="24" t="str">
        <x:v>嘉兴技领</x:v>
      </x:c>
      <x:c r="E134" s="24" t="str">
        <x:v>5-7K</x:v>
      </x:c>
      <x:c r="F134" s="25" t="n">
        <x:v>5</x:v>
      </x:c>
      <x:c r="G134" s="24" t="str"/>
      <x:c r="H134" s="24" t="str"/>
    </x:row>
    <x:row r="135">
      <x:c r="A135" s="24" t="str">
        <x:v>嘉兴</x:v>
      </x:c>
      <x:c r="B135" s="24" t="str"/>
      <x:c r="C135" s="24" t="str">
        <x:v>PCB工程师</x:v>
      </x:c>
      <x:c r="D135" s="24" t="str">
        <x:v>艾弗洛</x:v>
      </x:c>
      <x:c r="E135" s="24" t="str">
        <x:v>7-10K·14薪</x:v>
      </x:c>
      <x:c r="F135" s="25" t="n">
        <x:v>7</x:v>
      </x:c>
      <x:c r="G135" s="24" t="str"/>
      <x:c r="H135" s="24" t="str"/>
    </x:row>
    <x:row r="136">
      <x:c r="A136" s="24" t="str">
        <x:v>嘉兴</x:v>
      </x:c>
      <x:c r="B136" s="24" t="str">
        <x:v>南湖区</x:v>
      </x:c>
      <x:c r="C136" s="24" t="str">
        <x:v>设备工程师(J11188)</x:v>
      </x:c>
      <x:c r="D136" s="24" t="str">
        <x:v>卫星化学</x:v>
      </x:c>
      <x:c r="E136" s="24" t="str">
        <x:v>7-12K</x:v>
      </x:c>
      <x:c r="F136" s="25" t="n">
        <x:v>7</x:v>
      </x:c>
      <x:c r="G136" s="24" t="str"/>
      <x:c r="H136" s="24" t="str"/>
    </x:row>
    <x:row r="137">
      <x:c r="A137" s="24" t="str">
        <x:v>宁波</x:v>
      </x:c>
      <x:c r="B137" s="24" t="str"/>
      <x:c r="C137" s="24" t="str">
        <x:v>储能测试工程师</x:v>
      </x:c>
      <x:c r="D137" s="24" t="str">
        <x:v>德业集团</x:v>
      </x:c>
      <x:c r="E137" s="24" t="str">
        <x:v>7-12K·14薪</x:v>
      </x:c>
      <x:c r="F137" s="25" t="n">
        <x:v>7</x:v>
      </x:c>
      <x:c r="G137" s="24" t="str"/>
      <x:c r="H137" s="24" t="str"/>
    </x:row>
    <x:row r="138">
      <x:c r="A138" s="24" t="str">
        <x:v>宁波</x:v>
      </x:c>
      <x:c r="B138" s="24" t="str"/>
      <x:c r="C138" s="24" t="str">
        <x:v>电源工程师</x:v>
      </x:c>
      <x:c r="D138" s="24" t="str">
        <x:v>宁波帆洲电源科技</x:v>
      </x:c>
      <x:c r="E138" s="24" t="str">
        <x:v>8-9K</x:v>
      </x:c>
      <x:c r="F138" s="25" t="n">
        <x:v>8</x:v>
      </x:c>
      <x:c r="G138" s="24" t="str"/>
      <x:c r="H138" s="24" t="str"/>
    </x:row>
    <x:row r="139">
      <x:c r="A139" s="24" t="str">
        <x:v>宁波</x:v>
      </x:c>
      <x:c r="B139" s="24" t="str"/>
      <x:c r="C139" s="24" t="str">
        <x:v>硬件工程师助理</x:v>
      </x:c>
      <x:c r="D139" s="24" t="str">
        <x:v>宁波鸿钢</x:v>
      </x:c>
      <x:c r="E139" s="24" t="str">
        <x:v>3-6K</x:v>
      </x:c>
      <x:c r="F139" s="25" t="n">
        <x:v>3</x:v>
      </x:c>
      <x:c r="G139" s="24" t="str"/>
      <x:c r="H139" s="24" t="str"/>
    </x:row>
    <x:row r="140">
      <x:c r="A140" s="24" t="str">
        <x:v>宁波</x:v>
      </x:c>
      <x:c r="B140" s="24" t="str"/>
      <x:c r="C140" s="24" t="str">
        <x:v>精密仪器研发工程师</x:v>
      </x:c>
      <x:c r="D140" s="24" t="str">
        <x:v>谱秀</x:v>
      </x:c>
      <x:c r="E140" s="24" t="str">
        <x:v>12-18K·16薪</x:v>
      </x:c>
      <x:c r="F140" s="25" t="n">
        <x:v>12</x:v>
      </x:c>
      <x:c r="G140" s="24" t="str"/>
      <x:c r="H140" s="24" t="str"/>
    </x:row>
    <x:row r="141">
      <x:c r="A141" s="24" t="str">
        <x:v>宁波</x:v>
      </x:c>
      <x:c r="B141" s="24" t="str"/>
      <x:c r="C141" s="24" t="str">
        <x:v>非标自动化设计工程师</x:v>
      </x:c>
      <x:c r="D141" s="24" t="str">
        <x:v>宁波晶上智造</x:v>
      </x:c>
      <x:c r="E141" s="24" t="str">
        <x:v>9-12K</x:v>
      </x:c>
      <x:c r="F141" s="25" t="n">
        <x:v>9</x:v>
      </x:c>
      <x:c r="G141" s="24" t="str"/>
      <x:c r="H141" s="24" t="str"/>
    </x:row>
    <x:row r="142">
      <x:c r="A142" s="24" t="str">
        <x:v>宁波</x:v>
      </x:c>
      <x:c r="B142" s="24" t="str">
        <x:v>慈溪市</x:v>
      </x:c>
      <x:c r="C142" s="24" t="str">
        <x:v>EAP工程师（自动化方向，26届应届学生）</x:v>
      </x:c>
      <x:c r="D142" s="24" t="str">
        <x:v>派恩杰</x:v>
      </x:c>
      <x:c r="E142" s="24" t="str">
        <x:v>6-9K·15薪</x:v>
      </x:c>
      <x:c r="F142" s="25" t="n">
        <x:v>6</x:v>
      </x:c>
      <x:c r="G142" s="24" t="str"/>
      <x:c r="H142" s="24" t="str"/>
    </x:row>
    <x:row r="143">
      <x:c r="A143" s="24" t="str">
        <x:v>宁波</x:v>
      </x:c>
      <x:c r="B143" s="24" t="str"/>
      <x:c r="C143" s="24" t="str">
        <x:v>硬件测试工程师</x:v>
      </x:c>
      <x:c r="D143" s="24" t="str">
        <x:v>NBSENYA</x:v>
      </x:c>
      <x:c r="E143" s="24" t="str">
        <x:v>5-7K</x:v>
      </x:c>
      <x:c r="F143" s="25" t="n">
        <x:v>5</x:v>
      </x:c>
      <x:c r="G143" s="24" t="str"/>
      <x:c r="H143" s="24" t="str"/>
    </x:row>
    <x:row r="144">
      <x:c r="A144" s="24" t="str">
        <x:v>宁波</x:v>
      </x:c>
      <x:c r="B144" s="24" t="str">
        <x:v>海曙区</x:v>
      </x:c>
      <x:c r="C144" s="24" t="str">
        <x:v>硬件工程师</x:v>
      </x:c>
      <x:c r="D144" s="24" t="str">
        <x:v>宁波虾条科技有限公司</x:v>
      </x:c>
      <x:c r="E144" s="24" t="str">
        <x:v>18-20K</x:v>
      </x:c>
      <x:c r="F144" s="25" t="n">
        <x:v>18</x:v>
      </x:c>
      <x:c r="G144" s="24" t="str"/>
      <x:c r="H144" s="24" t="str"/>
    </x:row>
    <x:row r="145">
      <x:c r="A145" s="24" t="str">
        <x:v>宁波</x:v>
      </x:c>
      <x:c r="B145" s="24" t="str"/>
      <x:c r="C145" s="24" t="str">
        <x:v>电气设计 (MJ008426)</x:v>
      </x:c>
      <x:c r="D145" s="24" t="str">
        <x:v>舜宇集团</x:v>
      </x:c>
      <x:c r="E145" s="24" t="str">
        <x:v>9-12K·14薪</x:v>
      </x:c>
      <x:c r="F145" s="25" t="n">
        <x:v>9</x:v>
      </x:c>
      <x:c r="G145" s="24" t="str"/>
      <x:c r="H145" s="24" t="str"/>
    </x:row>
    <x:row r="146">
      <x:c r="A146" s="24" t="str">
        <x:v>宁波</x:v>
      </x:c>
      <x:c r="B146" s="24" t="str">
        <x:v>慈溪市</x:v>
      </x:c>
      <x:c r="C146" s="24" t="str">
        <x:v>电气点检（有象箔材） (MJ000065)</x:v>
      </x:c>
      <x:c r="D146" s="24" t="str">
        <x:v>太平鸟集团</x:v>
      </x:c>
      <x:c r="E146" s="24" t="str">
        <x:v>8-12K</x:v>
      </x:c>
      <x:c r="F146" s="25" t="n">
        <x:v>8</x:v>
      </x:c>
      <x:c r="G146" s="24" t="str"/>
      <x:c r="H146" s="24" t="str"/>
    </x:row>
    <x:row r="147">
      <x:c r="A147" s="24" t="str">
        <x:v>宁波</x:v>
      </x:c>
      <x:c r="B147" s="24" t="str"/>
      <x:c r="C147" s="24" t="str">
        <x:v>机电仪储备工程师</x:v>
      </x:c>
      <x:c r="D147" s="24" t="str">
        <x:v>博汇股份</x:v>
      </x:c>
      <x:c r="E147" s="24" t="str">
        <x:v>7-10K</x:v>
      </x:c>
      <x:c r="F147" s="25" t="n">
        <x:v>7</x:v>
      </x:c>
      <x:c r="G147" s="24" t="str"/>
      <x:c r="H147" s="24" t="str"/>
    </x:row>
    <x:row r="148">
      <x:c r="A148" s="24" t="str">
        <x:v>宁波</x:v>
      </x:c>
      <x:c r="B148" s="24" t="str">
        <x:v>鄞州区</x:v>
      </x:c>
      <x:c r="C148" s="24" t="str">
        <x:v>测试工程师（仪器仪表）</x:v>
      </x:c>
      <x:c r="D148" s="24" t="str">
        <x:v>华仪宁创</x:v>
      </x:c>
      <x:c r="E148" s="24" t="str">
        <x:v>5-10K·13薪</x:v>
      </x:c>
      <x:c r="F148" s="25" t="n">
        <x:v>5</x:v>
      </x:c>
      <x:c r="G148" s="24" t="str"/>
      <x:c r="H148" s="24" t="str"/>
    </x:row>
    <x:row r="149">
      <x:c r="A149" s="24" t="str">
        <x:v>宁波</x:v>
      </x:c>
      <x:c r="B149" s="24" t="str">
        <x:v>镇海区</x:v>
      </x:c>
      <x:c r="C149" s="24" t="str">
        <x:v>电机电磁设计人员</x:v>
      </x:c>
      <x:c r="D149" s="24" t="str">
        <x:v>甬江实验室</x:v>
      </x:c>
      <x:c r="E149" s="24" t="str">
        <x:v>15-20K</x:v>
      </x:c>
      <x:c r="F149" s="25" t="n">
        <x:v>15</x:v>
      </x:c>
      <x:c r="G149" s="24" t="str"/>
      <x:c r="H149" s="24" t="str"/>
    </x:row>
    <x:row r="150">
      <x:c r="A150" s="24" t="str">
        <x:v>宁波</x:v>
      </x:c>
      <x:c r="B150" s="24" t="str">
        <x:v>慈溪市</x:v>
      </x:c>
      <x:c r="C150" s="24" t="str">
        <x:v>机电技术员</x:v>
      </x:c>
      <x:c r="D150" s="24" t="str">
        <x:v>宁波煊燚电机有限公司</x:v>
      </x:c>
      <x:c r="E150" s="24" t="str">
        <x:v>8-12K</x:v>
      </x:c>
      <x:c r="F150" s="25" t="n">
        <x:v>8</x:v>
      </x:c>
      <x:c r="G150" s="24" t="str"/>
      <x:c r="H150" s="24" t="str"/>
    </x:row>
    <x:row r="151">
      <x:c r="A151" s="24" t="str">
        <x:v>宁波</x:v>
      </x:c>
      <x:c r="B151" s="24" t="str">
        <x:v>北仑区</x:v>
      </x:c>
      <x:c r="C151" s="24" t="str">
        <x:v>硬件助理工程师</x:v>
      </x:c>
      <x:c r="D151" s="24" t="str">
        <x:v>德业集团</x:v>
      </x:c>
      <x:c r="E151" s="24" t="str">
        <x:v>8-13K·14薪</x:v>
      </x:c>
      <x:c r="F151" s="25" t="n">
        <x:v>8</x:v>
      </x:c>
      <x:c r="G151" s="24" t="str"/>
      <x:c r="H151" s="24" t="str"/>
    </x:row>
    <x:row r="152">
      <x:c r="A152" s="24" t="str">
        <x:v>宁波</x:v>
      </x:c>
      <x:c r="B152" s="24" t="str">
        <x:v>镇海区</x:v>
      </x:c>
      <x:c r="C152" s="24" t="str">
        <x:v>嵌入式硬件工程师</x:v>
      </x:c>
      <x:c r="D152" s="24" t="str">
        <x:v>智源数感</x:v>
      </x:c>
      <x:c r="E152" s="24" t="str">
        <x:v>6-8K</x:v>
      </x:c>
      <x:c r="F152" s="25" t="n">
        <x:v>6</x:v>
      </x:c>
      <x:c r="G152" s="24" t="str"/>
      <x:c r="H152" s="24" t="str"/>
    </x:row>
    <x:row r="153">
      <x:c r="A153" s="24" t="str">
        <x:v>宁波</x:v>
      </x:c>
      <x:c r="B153" s="24" t="str">
        <x:v>慈溪市</x:v>
      </x:c>
      <x:c r="C153" s="24" t="str">
        <x:v>计算机自动化专员</x:v>
      </x:c>
      <x:c r="D153" s="24" t="str">
        <x:v>康龙化成</x:v>
      </x:c>
      <x:c r="E153" s="24" t="str">
        <x:v>6-7K</x:v>
      </x:c>
      <x:c r="F153" s="25" t="n">
        <x:v>6</x:v>
      </x:c>
      <x:c r="G153" s="24" t="str"/>
      <x:c r="H153" s="24" t="str"/>
    </x:row>
    <x:row r="154">
      <x:c r="A154" s="24" t="str">
        <x:v>宁波</x:v>
      </x:c>
      <x:c r="B154" s="24" t="str">
        <x:v>鄞州区</x:v>
      </x:c>
      <x:c r="C154" s="24" t="str">
        <x:v>工控网络安全</x:v>
      </x:c>
      <x:c r="D154" s="24" t="str">
        <x:v>宁波信息安全测评中心</x:v>
      </x:c>
      <x:c r="E154" s="24" t="str">
        <x:v>3-5K</x:v>
      </x:c>
      <x:c r="F154" s="25" t="n">
        <x:v>3</x:v>
      </x:c>
      <x:c r="G154" s="24" t="str"/>
      <x:c r="H154" s="24" t="str"/>
    </x:row>
    <x:row r="155">
      <x:c r="A155" s="24" t="str">
        <x:v>宿迁</x:v>
      </x:c>
      <x:c r="B155" s="24" t="str">
        <x:v>沭阳县</x:v>
      </x:c>
      <x:c r="C155" s="24" t="str">
        <x:v>电气设计见习生</x:v>
      </x:c>
      <x:c r="D155" s="24" t="str">
        <x:v>江苏天能工业电池</x:v>
      </x:c>
      <x:c r="E155" s="24" t="str">
        <x:v>4-6K·13薪</x:v>
      </x:c>
      <x:c r="F155" s="25" t="n">
        <x:v>4</x:v>
      </x:c>
      <x:c r="G155" s="24" t="str"/>
      <x:c r="H155" s="24" t="str"/>
    </x:row>
    <x:row r="156">
      <x:c r="A156" s="24" t="str">
        <x:v>宿迁</x:v>
      </x:c>
      <x:c r="B156" s="24" t="str">
        <x:v>宿豫区</x:v>
      </x:c>
      <x:c r="C156" s="24" t="str">
        <x:v>硬件开发</x:v>
      </x:c>
      <x:c r="D156" s="24" t="str">
        <x:v>北斗智联科技有限公司</x:v>
      </x:c>
      <x:c r="E156" s="24" t="str">
        <x:v>9-11K·13薪</x:v>
      </x:c>
      <x:c r="F156" s="25" t="n">
        <x:v>9</x:v>
      </x:c>
      <x:c r="G156" s="24" t="str"/>
      <x:c r="H156" s="24" t="str"/>
    </x:row>
    <x:row r="157">
      <x:c r="A157" s="24" t="str">
        <x:v>宿迁</x:v>
      </x:c>
      <x:c r="B157" s="24" t="str">
        <x:v>宿城区</x:v>
      </x:c>
      <x:c r="C157" s="24" t="str">
        <x:v>质量控制类</x:v>
      </x:c>
      <x:c r="D157" s="24" t="str">
        <x:v>宿迁格力大松</x:v>
      </x:c>
      <x:c r="E157" s="24" t="str">
        <x:v>6-8K</x:v>
      </x:c>
      <x:c r="F157" s="25" t="n">
        <x:v>6</x:v>
      </x:c>
      <x:c r="G157" s="24" t="str">
        <x:v>是</x:v>
      </x:c>
      <x:c r="H157" s="24" t="str">
        <x:v>是</x:v>
      </x:c>
    </x:row>
    <x:row r="158">
      <x:c r="A158" s="24" t="str">
        <x:v>常州</x:v>
      </x:c>
      <x:c r="B158" s="24" t="str">
        <x:v>新北区</x:v>
      </x:c>
      <x:c r="C158" s="24" t="str">
        <x:v>设备工程师（27届）(J11483)</x:v>
      </x:c>
      <x:c r="D158" s="24" t="str">
        <x:v>卓见</x:v>
      </x:c>
      <x:c r="E158" s="24" t="str">
        <x:v>7-10K</x:v>
      </x:c>
      <x:c r="F158" s="25" t="n">
        <x:v>7</x:v>
      </x:c>
      <x:c r="G158" s="24" t="str">
        <x:v>是</x:v>
      </x:c>
      <x:c r="H158" s="24" t="str">
        <x:v>是</x:v>
      </x:c>
    </x:row>
    <x:row r="159">
      <x:c r="A159" s="24" t="str">
        <x:v>常州</x:v>
      </x:c>
      <x:c r="B159" s="24" t="str"/>
      <x:c r="C159" s="24" t="str">
        <x:v>电气管培生</x:v>
      </x:c>
      <x:c r="D159" s="24" t="str">
        <x:v>LOPAL</x:v>
      </x:c>
      <x:c r="E159" s="24" t="str">
        <x:v>6-10K</x:v>
      </x:c>
      <x:c r="F159" s="25" t="n">
        <x:v>6</x:v>
      </x:c>
      <x:c r="G159" s="24" t="str"/>
      <x:c r="H159" s="24" t="str"/>
    </x:row>
    <x:row r="160">
      <x:c r="A160" s="24" t="str">
        <x:v>常州</x:v>
      </x:c>
      <x:c r="B160" s="24" t="str"/>
      <x:c r="C160" s="24" t="str">
        <x:v>自动化校招生（2027届校园招聘）(J11979)</x:v>
      </x:c>
      <x:c r="D160" s="24" t="str">
        <x:v>精研科技</x:v>
      </x:c>
      <x:c r="E160" s="24" t="str">
        <x:v>10-12K</x:v>
      </x:c>
      <x:c r="F160" s="25" t="n">
        <x:v>10</x:v>
      </x:c>
      <x:c r="G160" s="24" t="str"/>
      <x:c r="H160" s="24" t="str"/>
    </x:row>
    <x:row r="161">
      <x:c r="A161" s="24" t="str">
        <x:v>常州</x:v>
      </x:c>
      <x:c r="B161" s="24" t="str">
        <x:v>武进区</x:v>
      </x:c>
      <x:c r="C161" s="24" t="str">
        <x:v>助理硬件研发工程师</x:v>
      </x:c>
      <x:c r="D161" s="24" t="str">
        <x:v>盈帜</x:v>
      </x:c>
      <x:c r="E161" s="24" t="str">
        <x:v>6-10K</x:v>
      </x:c>
      <x:c r="F161" s="25" t="n">
        <x:v>6</x:v>
      </x:c>
      <x:c r="G161" s="24" t="str"/>
      <x:c r="H161" s="24" t="str"/>
    </x:row>
    <x:row r="162">
      <x:c r="A162" s="24" t="str">
        <x:v>常州</x:v>
      </x:c>
      <x:c r="B162" s="24" t="str">
        <x:v>武进区</x:v>
      </x:c>
      <x:c r="C162" s="24" t="str">
        <x:v>汽车电子工程师（2025年校园招聘）</x:v>
      </x:c>
      <x:c r="D162" s="24" t="str">
        <x:v>日盈电子</x:v>
      </x:c>
      <x:c r="E162" s="24" t="str">
        <x:v>7-12K·13薪</x:v>
      </x:c>
      <x:c r="F162" s="25" t="n">
        <x:v>7</x:v>
      </x:c>
      <x:c r="G162" s="24" t="str"/>
      <x:c r="H162" s="24" t="str"/>
    </x:row>
    <x:row r="163">
      <x:c r="A163" s="24" t="str">
        <x:v>常州</x:v>
      </x:c>
      <x:c r="B163" s="24" t="str"/>
      <x:c r="C163" s="24" t="str">
        <x:v>电气储备生（27校招）</x:v>
      </x:c>
      <x:c r="D163" s="24" t="str">
        <x:v>捷佳创</x:v>
      </x:c>
      <x:c r="E163" s="24" t="str">
        <x:v>8-13K</x:v>
      </x:c>
      <x:c r="F163" s="25" t="n">
        <x:v>8</x:v>
      </x:c>
      <x:c r="G163" s="24" t="str"/>
      <x:c r="H163" s="24" t="str"/>
    </x:row>
    <x:row r="164">
      <x:c r="A164" s="24" t="str">
        <x:v>常州</x:v>
      </x:c>
      <x:c r="B164" s="24" t="str"/>
      <x:c r="C164" s="24" t="str">
        <x:v>电气工程师</x:v>
      </x:c>
      <x:c r="D164" s="24" t="str">
        <x:v>江苏福亿机械科技</x:v>
      </x:c>
      <x:c r="E164" s="24" t="str">
        <x:v>5-8K</x:v>
      </x:c>
      <x:c r="F164" s="25" t="n">
        <x:v>5</x:v>
      </x:c>
      <x:c r="G164" s="24" t="str"/>
      <x:c r="H164" s="24" t="str"/>
    </x:row>
    <x:row r="165">
      <x:c r="A165" s="24" t="str">
        <x:v>常州</x:v>
      </x:c>
      <x:c r="B165" s="24" t="str">
        <x:v>武进区</x:v>
      </x:c>
      <x:c r="C165" s="24" t="str">
        <x:v>助理硬件工程师</x:v>
      </x:c>
      <x:c r="D165" s="24" t="str">
        <x:v>盈帜</x:v>
      </x:c>
      <x:c r="E165" s="24" t="str">
        <x:v>5-10K</x:v>
      </x:c>
      <x:c r="F165" s="25" t="n">
        <x:v>5</x:v>
      </x:c>
      <x:c r="G165" s="24" t="str"/>
      <x:c r="H165" s="24" t="str"/>
    </x:row>
    <x:row r="166">
      <x:c r="A166" s="24" t="str">
        <x:v>徐州</x:v>
      </x:c>
      <x:c r="B166" s="24" t="str">
        <x:v>鼓楼区</x:v>
      </x:c>
      <x:c r="C166" s="24" t="str">
        <x:v>硬件开发工程师</x:v>
      </x:c>
      <x:c r="D166" s="24" t="str">
        <x:v>江苏睿控电气</x:v>
      </x:c>
      <x:c r="E166" s="24" t="str">
        <x:v>11-20K·13薪</x:v>
      </x:c>
      <x:c r="F166" s="25" t="n">
        <x:v>11</x:v>
      </x:c>
      <x:c r="G166" s="24" t="str"/>
      <x:c r="H166" s="24" t="str"/>
    </x:row>
    <x:row r="167">
      <x:c r="A167" s="24" t="str">
        <x:v>徐州</x:v>
      </x:c>
      <x:c r="B167" s="24" t="str"/>
      <x:c r="C167" s="24" t="str">
        <x:v>硬件测试</x:v>
      </x:c>
      <x:c r="D167" s="24" t="str">
        <x:v>科悦电子</x:v>
      </x:c>
      <x:c r="E167" s="24" t="str">
        <x:v>3-6K</x:v>
      </x:c>
      <x:c r="F167" s="25" t="n">
        <x:v>3</x:v>
      </x:c>
      <x:c r="G167" s="24" t="str"/>
      <x:c r="H167" s="24" t="str"/>
    </x:row>
    <x:row r="168">
      <x:c r="A168" s="24" t="str">
        <x:v>徐州</x:v>
      </x:c>
      <x:c r="B168" s="24" t="str">
        <x:v>鼓楼区</x:v>
      </x:c>
      <x:c r="C168" s="24" t="str">
        <x:v>硬件开发</x:v>
      </x:c>
      <x:c r="D168" s="24" t="str">
        <x:v>徐工特机</x:v>
      </x:c>
      <x:c r="E168" s="24" t="str">
        <x:v>8-11K</x:v>
      </x:c>
      <x:c r="F168" s="25" t="n">
        <x:v>8</x:v>
      </x:c>
      <x:c r="G168" s="24" t="str"/>
      <x:c r="H168" s="24" t="str"/>
    </x:row>
    <x:row r="169">
      <x:c r="A169" s="24" t="str">
        <x:v>徐州</x:v>
      </x:c>
      <x:c r="B169" s="24" t="str"/>
      <x:c r="C169" s="24" t="str">
        <x:v>电气工程师</x:v>
      </x:c>
      <x:c r="D169" s="24" t="str">
        <x:v>徐工港机</x:v>
      </x:c>
      <x:c r="E169" s="24" t="str">
        <x:v>9-14K</x:v>
      </x:c>
      <x:c r="F169" s="25" t="n">
        <x:v>9</x:v>
      </x:c>
      <x:c r="G169" s="24" t="str"/>
      <x:c r="H169" s="24" t="str"/>
    </x:row>
    <x:row r="170">
      <x:c r="A170" s="24" t="str">
        <x:v>扬州</x:v>
      </x:c>
      <x:c r="B170" s="24" t="str"/>
      <x:c r="C170" s="24" t="str">
        <x:v>储能技术工程师</x:v>
      </x:c>
      <x:c r="D170" s="24" t="str">
        <x:v>欧美力克</x:v>
      </x:c>
      <x:c r="E170" s="24" t="str">
        <x:v>8-13K</x:v>
      </x:c>
      <x:c r="F170" s="25" t="n">
        <x:v>8</x:v>
      </x:c>
      <x:c r="G170" s="24" t="str"/>
      <x:c r="H170" s="24" t="str"/>
    </x:row>
    <x:row r="171">
      <x:c r="A171" s="24" t="str">
        <x:v>扬州</x:v>
      </x:c>
      <x:c r="B171" s="24" t="str">
        <x:v>广陵区</x:v>
      </x:c>
      <x:c r="C171" s="24" t="str">
        <x:v>倍致生（厂务-暖通方向）</x:v>
      </x:c>
      <x:c r="D171" s="24" t="str">
        <x:v>倍加洁日化</x:v>
      </x:c>
      <x:c r="E171" s="24" t="str">
        <x:v>6-8K</x:v>
      </x:c>
      <x:c r="F171" s="25" t="n">
        <x:v>6</x:v>
      </x:c>
      <x:c r="G171" s="24" t="str"/>
      <x:c r="H171" s="24" t="str"/>
    </x:row>
    <x:row r="172">
      <x:c r="A172" s="24" t="str">
        <x:v>扬州</x:v>
      </x:c>
      <x:c r="B172" s="24" t="str">
        <x:v>高邮市</x:v>
      </x:c>
      <x:c r="C172" s="24" t="str">
        <x:v>电气工程师（接受应届）</x:v>
      </x:c>
      <x:c r="D172" s="24" t="str">
        <x:v>江苏信鸿数据技术</x:v>
      </x:c>
      <x:c r="E172" s="24" t="str">
        <x:v>7-9K·13薪</x:v>
      </x:c>
      <x:c r="F172" s="25" t="n">
        <x:v>7</x:v>
      </x:c>
      <x:c r="G172" s="24" t="str"/>
      <x:c r="H172" s="24" t="str"/>
    </x:row>
    <x:row r="173">
      <x:c r="A173" s="24" t="str">
        <x:v>扬州</x:v>
      </x:c>
      <x:c r="B173" s="24" t="str"/>
      <x:c r="C173" s="24" t="str">
        <x:v>电气工程师</x:v>
      </x:c>
      <x:c r="D173" s="24" t="str">
        <x:v>奥力通起重机</x:v>
      </x:c>
      <x:c r="E173" s="24" t="str">
        <x:v>8-12K·13薪</x:v>
      </x:c>
      <x:c r="F173" s="25" t="n">
        <x:v>8</x:v>
      </x:c>
      <x:c r="G173" s="24" t="str"/>
      <x:c r="H173" s="24" t="str"/>
    </x:row>
    <x:row r="174">
      <x:c r="A174" s="24" t="str">
        <x:v>扬州</x:v>
      </x:c>
      <x:c r="B174" s="24" t="str"/>
      <x:c r="C174" s="24" t="str">
        <x:v>设备工程师</x:v>
      </x:c>
      <x:c r="D174" s="24" t="str">
        <x:v>亚新科智能汽车技术</x:v>
      </x:c>
      <x:c r="E174" s="24" t="str">
        <x:v>7-8K·13薪</x:v>
      </x:c>
      <x:c r="F174" s="25" t="n">
        <x:v>7</x:v>
      </x:c>
      <x:c r="G174" s="24" t="str"/>
      <x:c r="H174" s="24" t="str"/>
    </x:row>
    <x:row r="175">
      <x:c r="A175" s="24" t="str">
        <x:v>扬州</x:v>
      </x:c>
      <x:c r="B175" s="24" t="str"/>
      <x:c r="C175" s="24" t="str">
        <x:v>非标自动化与机器人应用</x:v>
      </x:c>
      <x:c r="D175" s="24" t="str">
        <x:v>墨提斯智能装备</x:v>
      </x:c>
      <x:c r="E175" s="24" t="str">
        <x:v>4-8K</x:v>
      </x:c>
      <x:c r="F175" s="25" t="n">
        <x:v>4</x:v>
      </x:c>
      <x:c r="G175" s="24" t="str"/>
      <x:c r="H175" s="24" t="str"/>
    </x:row>
    <x:row r="176">
      <x:c r="A176" s="24" t="str">
        <x:v>扬州</x:v>
      </x:c>
      <x:c r="B176" s="24" t="str"/>
      <x:c r="C176" s="24" t="str">
        <x:v>电气试验员（接受单休可应届）</x:v>
      </x:c>
      <x:c r="D176" s="24" t="str">
        <x:v>亚开电气</x:v>
      </x:c>
      <x:c r="E176" s="24" t="str">
        <x:v>4-6K</x:v>
      </x:c>
      <x:c r="F176" s="25" t="n">
        <x:v>4</x:v>
      </x:c>
      <x:c r="G176" s="24" t="str"/>
      <x:c r="H176" s="24" t="str"/>
    </x:row>
    <x:row r="177">
      <x:c r="A177" s="24" t="str">
        <x:v>扬州</x:v>
      </x:c>
      <x:c r="B177" s="24" t="str">
        <x:v>仪征市</x:v>
      </x:c>
      <x:c r="C177" s="24" t="str">
        <x:v>自动化子弟兵(J10040)</x:v>
      </x:c>
      <x:c r="D177" s="24" t="str">
        <x:v>江苏泽景</x:v>
      </x:c>
      <x:c r="E177" s="24" t="str">
        <x:v>6-8K·13薪</x:v>
      </x:c>
      <x:c r="F177" s="25" t="n">
        <x:v>6</x:v>
      </x:c>
      <x:c r="G177" s="24" t="str">
        <x:v>是</x:v>
      </x:c>
      <x:c r="H177" s="24" t="str">
        <x:v>是</x:v>
      </x:c>
    </x:row>
    <x:row r="178">
      <x:c r="A178" s="24" t="str">
        <x:v>扬州</x:v>
      </x:c>
      <x:c r="B178" s="24" t="str"/>
      <x:c r="C178" s="24" t="str">
        <x:v>机电工程师</x:v>
      </x:c>
      <x:c r="D178" s="24" t="str">
        <x:v>江苏碧绿园环保科技</x:v>
      </x:c>
      <x:c r="E178" s="24" t="str">
        <x:v>8-11K</x:v>
      </x:c>
      <x:c r="F178" s="25" t="n">
        <x:v>8</x:v>
      </x:c>
      <x:c r="G178" s="24" t="str"/>
      <x:c r="H178" s="24" t="str"/>
    </x:row>
    <x:row r="179">
      <x:c r="A179" s="24" t="str">
        <x:v>扬州</x:v>
      </x:c>
      <x:c r="B179" s="24" t="str">
        <x:v>仪征市</x:v>
      </x:c>
      <x:c r="C179" s="24" t="str">
        <x:v>自动化助理工程师</x:v>
      </x:c>
      <x:c r="D179" s="24" t="str">
        <x:v>江苏泽景</x:v>
      </x:c>
      <x:c r="E179" s="24" t="str">
        <x:v>10-15K·13薪</x:v>
      </x:c>
      <x:c r="F179" s="25" t="n">
        <x:v>10</x:v>
      </x:c>
      <x:c r="G179" s="24" t="str"/>
      <x:c r="H179" s="24" t="str"/>
    </x:row>
    <x:row r="180">
      <x:c r="A180" s="24" t="str">
        <x:v>扬州</x:v>
      </x:c>
      <x:c r="B180" s="24" t="str"/>
      <x:c r="C180" s="24" t="str">
        <x:v>设备工程师</x:v>
      </x:c>
      <x:c r="D180" s="24" t="str">
        <x:v>江苏矽谦</x:v>
      </x:c>
      <x:c r="E180" s="24" t="str">
        <x:v>6-8K</x:v>
      </x:c>
      <x:c r="F180" s="25" t="n">
        <x:v>6</x:v>
      </x:c>
      <x:c r="G180" s="24" t="str">
        <x:v>是</x:v>
      </x:c>
      <x:c r="H180" s="24" t="str">
        <x:v>是</x:v>
      </x:c>
    </x:row>
    <x:row r="181">
      <x:c r="A181" s="24" t="str">
        <x:v>扬州</x:v>
      </x:c>
      <x:c r="B181" s="24" t="str"/>
      <x:c r="C181" s="24" t="str">
        <x:v>27届校招研发岗（FPGA/嵌入式/硬件）</x:v>
      </x:c>
      <x:c r="D181" s="24" t="str">
        <x:v>宇安电子</x:v>
      </x:c>
      <x:c r="E181" s="24" t="str">
        <x:v>12-18K</x:v>
      </x:c>
      <x:c r="F181" s="25" t="n">
        <x:v>12</x:v>
      </x:c>
      <x:c r="G181" s="24" t="str"/>
      <x:c r="H181" s="24" t="str"/>
    </x:row>
    <x:row r="182">
      <x:c r="A182" s="24" t="str">
        <x:v>无锡</x:v>
      </x:c>
      <x:c r="B182" s="24" t="str">
        <x:v>滨湖区</x:v>
      </x:c>
      <x:c r="C182" s="24" t="str">
        <x:v>技术支持工程师(J10510)-plc方向</x:v>
      </x:c>
      <x:c r="D182" s="24" t="str">
        <x:v>信捷电气</x:v>
      </x:c>
      <x:c r="E182" s="24" t="str">
        <x:v>7-9K·14薪</x:v>
      </x:c>
      <x:c r="F182" s="25" t="n">
        <x:v>7</x:v>
      </x:c>
      <x:c r="G182" s="24" t="str"/>
      <x:c r="H182" s="24" t="str"/>
    </x:row>
    <x:row r="183">
      <x:c r="A183" s="24" t="str">
        <x:v>无锡</x:v>
      </x:c>
      <x:c r="B183" s="24" t="str">
        <x:v>新吴区</x:v>
      </x:c>
      <x:c r="C183" s="24" t="str">
        <x:v>电力工程师</x:v>
      </x:c>
      <x:c r="D183" s="24" t="str">
        <x:v>无锡荟德</x:v>
      </x:c>
      <x:c r="E183" s="24" t="str">
        <x:v>5-6K·13薪</x:v>
      </x:c>
      <x:c r="F183" s="25" t="n">
        <x:v>5</x:v>
      </x:c>
      <x:c r="G183" s="24" t="str"/>
      <x:c r="H183" s="24" t="str"/>
    </x:row>
    <x:row r="184">
      <x:c r="A184" s="24" t="str">
        <x:v>无锡</x:v>
      </x:c>
      <x:c r="B184" s="24" t="str">
        <x:v>江阴市</x:v>
      </x:c>
      <x:c r="C184" s="24" t="str">
        <x:v>电力工程资料员</x:v>
      </x:c>
      <x:c r="D184" s="24" t="str">
        <x:v>星炣电力</x:v>
      </x:c>
      <x:c r="E184" s="24" t="str">
        <x:v>5-7K</x:v>
      </x:c>
      <x:c r="F184" s="25" t="n">
        <x:v>5</x:v>
      </x:c>
      <x:c r="G184" s="24" t="str"/>
      <x:c r="H184" s="24" t="str"/>
    </x:row>
    <x:row r="185">
      <x:c r="A185" s="24" t="str">
        <x:v>无锡</x:v>
      </x:c>
      <x:c r="B185" s="24" t="str">
        <x:v>滨湖区</x:v>
      </x:c>
      <x:c r="C185" s="24" t="str">
        <x:v>高级电子工程师</x:v>
      </x:c>
      <x:c r="D185" s="24" t="str">
        <x:v>灵掌科技</x:v>
      </x:c>
      <x:c r="E185" s="24" t="str">
        <x:v>16-22K</x:v>
      </x:c>
      <x:c r="F185" s="25" t="n">
        <x:v>16</x:v>
      </x:c>
      <x:c r="G185" s="24" t="str"/>
      <x:c r="H185" s="24" t="str"/>
    </x:row>
    <x:row r="186">
      <x:c r="A186" s="24" t="str">
        <x:v>无锡</x:v>
      </x:c>
      <x:c r="B186" s="24" t="str">
        <x:v>滨湖区</x:v>
      </x:c>
      <x:c r="C186" s="24" t="str">
        <x:v>版图设计助理工程师（2026届）</x:v>
      </x:c>
      <x:c r="D186" s="24" t="str">
        <x:v>杰华特微电子股份...</x:v>
      </x:c>
      <x:c r="E186" s="24" t="str">
        <x:v>6-9K</x:v>
      </x:c>
      <x:c r="F186" s="25" t="n">
        <x:v>6</x:v>
      </x:c>
      <x:c r="G186" s="24" t="str"/>
      <x:c r="H186" s="24" t="str"/>
    </x:row>
    <x:row r="187">
      <x:c r="A187" s="24" t="str">
        <x:v>无锡</x:v>
      </x:c>
      <x:c r="B187" s="24" t="str">
        <x:v>惠山区</x:v>
      </x:c>
      <x:c r="C187" s="24" t="str">
        <x:v>助理电气工程师</x:v>
      </x:c>
      <x:c r="D187" s="24" t="str">
        <x:v>无锡中鼎智能科技</x:v>
      </x:c>
      <x:c r="E187" s="24" t="str">
        <x:v>8-10K</x:v>
      </x:c>
      <x:c r="F187" s="25" t="n">
        <x:v>8</x:v>
      </x:c>
      <x:c r="G187" s="24" t="str"/>
      <x:c r="H187" s="24" t="str"/>
    </x:row>
    <x:row r="188">
      <x:c r="A188" s="24" t="str">
        <x:v>无锡</x:v>
      </x:c>
      <x:c r="B188" s="24" t="str">
        <x:v>滨湖区</x:v>
      </x:c>
      <x:c r="C188" s="24" t="str">
        <x:v>建筑电气工程师助理</x:v>
      </x:c>
      <x:c r="D188" s="24" t="str">
        <x:v>中电精泰</x:v>
      </x:c>
      <x:c r="E188" s="24" t="str">
        <x:v>5-8K·14薪</x:v>
      </x:c>
      <x:c r="F188" s="25" t="n">
        <x:v>5</x:v>
      </x:c>
      <x:c r="G188" s="24" t="str"/>
      <x:c r="H188" s="24" t="str"/>
    </x:row>
    <x:row r="189">
      <x:c r="A189" s="24" t="str">
        <x:v>无锡</x:v>
      </x:c>
      <x:c r="B189" s="24" t="str"/>
      <x:c r="C189" s="24" t="str">
        <x:v>建筑电气工程师</x:v>
      </x:c>
      <x:c r="D189" s="24" t="str">
        <x:v>中电精泰</x:v>
      </x:c>
      <x:c r="E189" s="24" t="str">
        <x:v>5-8K·14薪</x:v>
      </x:c>
      <x:c r="F189" s="25" t="n">
        <x:v>5</x:v>
      </x:c>
      <x:c r="G189" s="24" t="str"/>
      <x:c r="H189" s="24" t="str"/>
    </x:row>
    <x:row r="190">
      <x:c r="A190" s="24" t="str">
        <x:v>无锡</x:v>
      </x:c>
      <x:c r="B190" s="24" t="str">
        <x:v>惠山区</x:v>
      </x:c>
      <x:c r="C190" s="24" t="str">
        <x:v>机器人结构设计</x:v>
      </x:c>
      <x:c r="D190" s="24" t="str">
        <x:v>贝塞克设计</x:v>
      </x:c>
      <x:c r="E190" s="24" t="str">
        <x:v>7-10K</x:v>
      </x:c>
      <x:c r="F190" s="25" t="n">
        <x:v>7</x:v>
      </x:c>
      <x:c r="G190" s="24" t="str"/>
      <x:c r="H190" s="24" t="str"/>
    </x:row>
    <x:row r="191">
      <x:c r="A191" s="24" t="str">
        <x:v>无锡</x:v>
      </x:c>
      <x:c r="B191" s="24" t="str"/>
      <x:c r="C191" s="24" t="str">
        <x:v>电气工程师</x:v>
      </x:c>
      <x:c r="D191" s="24" t="str">
        <x:v>铭航电液</x:v>
      </x:c>
      <x:c r="E191" s="24" t="str">
        <x:v>4-9K</x:v>
      </x:c>
      <x:c r="F191" s="25" t="n">
        <x:v>4</x:v>
      </x:c>
      <x:c r="G191" s="24" t="str"/>
      <x:c r="H191" s="24" t="str"/>
    </x:row>
    <x:row r="192">
      <x:c r="A192" s="24" t="str">
        <x:v>无锡</x:v>
      </x:c>
      <x:c r="B192" s="24" t="str">
        <x:v>滨湖区</x:v>
      </x:c>
      <x:c r="C192" s="24" t="str">
        <x:v>设备工程师</x:v>
      </x:c>
      <x:c r="D192" s="24" t="str">
        <x:v>卓胜微电子</x:v>
      </x:c>
      <x:c r="E192" s="24" t="str">
        <x:v>7-10K·16薪</x:v>
      </x:c>
      <x:c r="F192" s="25" t="n">
        <x:v>7</x:v>
      </x:c>
      <x:c r="G192" s="24" t="str"/>
      <x:c r="H192" s="24" t="str"/>
    </x:row>
    <x:row r="193">
      <x:c r="A193" s="24" t="str">
        <x:v>杭州</x:v>
      </x:c>
      <x:c r="B193" s="24" t="str">
        <x:v>钱塘区</x:v>
      </x:c>
      <x:c r="C193" s="24" t="str">
        <x:v>电气工程师助理（新能源方向）</x:v>
      </x:c>
      <x:c r="D193" s="24" t="str">
        <x:v>浙江珈源控股集团</x:v>
      </x:c>
      <x:c r="E193" s="24" t="str">
        <x:v>4-5K</x:v>
      </x:c>
      <x:c r="F193" s="25" t="n">
        <x:v>4</x:v>
      </x:c>
      <x:c r="G193" s="24" t="str"/>
      <x:c r="H193" s="24" t="str"/>
    </x:row>
    <x:row r="194">
      <x:c r="A194" s="24" t="str">
        <x:v>杭州</x:v>
      </x:c>
      <x:c r="B194" s="24" t="str">
        <x:v>余杭区</x:v>
      </x:c>
      <x:c r="C194" s="24" t="str">
        <x:v>电气工程师</x:v>
      </x:c>
      <x:c r="D194" s="24" t="str">
        <x:v>杭州捷能科技</x:v>
      </x:c>
      <x:c r="E194" s="24" t="str">
        <x:v>6-11K</x:v>
      </x:c>
      <x:c r="F194" s="25" t="n">
        <x:v>6</x:v>
      </x:c>
      <x:c r="G194" s="24" t="str"/>
      <x:c r="H194" s="24" t="str"/>
    </x:row>
    <x:row r="195">
      <x:c r="A195" s="24" t="str">
        <x:v>杭州</x:v>
      </x:c>
      <x:c r="B195" s="24" t="str">
        <x:v>萧山区</x:v>
      </x:c>
      <x:c r="C195" s="24" t="str">
        <x:v>光伏设计</x:v>
      </x:c>
      <x:c r="D195" s="24" t="str">
        <x:v>耀邦科技</x:v>
      </x:c>
      <x:c r="E195" s="24" t="str">
        <x:v>3-4K</x:v>
      </x:c>
      <x:c r="F195" s="25" t="n">
        <x:v>3</x:v>
      </x:c>
      <x:c r="G195" s="24" t="str"/>
      <x:c r="H195" s="24" t="str"/>
    </x:row>
    <x:row r="196">
      <x:c r="A196" s="24" t="str">
        <x:v>杭州</x:v>
      </x:c>
      <x:c r="B196" s="24" t="str">
        <x:v>滨江区</x:v>
      </x:c>
      <x:c r="C196" s="24" t="str">
        <x:v>硬件测试工程师</x:v>
      </x:c>
      <x:c r="D196" s="24" t="str">
        <x:v>杭州量测精锐科技</x:v>
      </x:c>
      <x:c r="E196" s="24" t="str">
        <x:v>6-9K</x:v>
      </x:c>
      <x:c r="F196" s="25" t="n">
        <x:v>6</x:v>
      </x:c>
      <x:c r="G196" s="24" t="str"/>
      <x:c r="H196" s="24" t="str"/>
    </x:row>
    <x:row r="197">
      <x:c r="A197" s="24" t="str">
        <x:v>杭州</x:v>
      </x:c>
      <x:c r="B197" s="24" t="str">
        <x:v>滨江区</x:v>
      </x:c>
      <x:c r="C197" s="24" t="str">
        <x:v>硬件工程师</x:v>
      </x:c>
      <x:c r="D197" s="24" t="str">
        <x:v>杭州华为企业通信技术</x:v>
      </x:c>
      <x:c r="E197" s="24" t="str">
        <x:v>19-20K</x:v>
      </x:c>
      <x:c r="F197" s="25" t="n">
        <x:v>19</x:v>
      </x:c>
      <x:c r="G197" s="24" t="str"/>
      <x:c r="H197" s="24" t="str"/>
    </x:row>
    <x:row r="198">
      <x:c r="A198" s="24" t="str">
        <x:v>杭州</x:v>
      </x:c>
      <x:c r="B198" s="24" t="str">
        <x:v>滨江区</x:v>
      </x:c>
      <x:c r="C198" s="24" t="str">
        <x:v>电源助理工程师</x:v>
      </x:c>
      <x:c r="D198" s="24" t="str">
        <x:v>力能时代</x:v>
      </x:c>
      <x:c r="E198" s="24" t="str">
        <x:v>8-13K</x:v>
      </x:c>
      <x:c r="F198" s="25" t="n">
        <x:v>8</x:v>
      </x:c>
      <x:c r="G198" s="24" t="str"/>
      <x:c r="H198" s="24" t="str"/>
    </x:row>
    <x:row r="199">
      <x:c r="A199" s="24" t="str">
        <x:v>杭州</x:v>
      </x:c>
      <x:c r="B199" s="24" t="str">
        <x:v>滨江区</x:v>
      </x:c>
      <x:c r="C199" s="24" t="str">
        <x:v>电源结构工程师</x:v>
      </x:c>
      <x:c r="D199" s="24" t="str">
        <x:v>奥海科技</x:v>
      </x:c>
      <x:c r="E199" s="24" t="str">
        <x:v>9-14K</x:v>
      </x:c>
      <x:c r="F199" s="25" t="n">
        <x:v>9</x:v>
      </x:c>
      <x:c r="G199" s="24" t="str"/>
      <x:c r="H199" s="24" t="str"/>
    </x:row>
    <x:row r="200">
      <x:c r="A200" s="24" t="str">
        <x:v>杭州</x:v>
      </x:c>
      <x:c r="B200" s="24" t="str">
        <x:v>滨江区</x:v>
      </x:c>
      <x:c r="C200" s="24" t="str">
        <x:v>校招-PCB设计工程师</x:v>
      </x:c>
      <x:c r="D200" s="24" t="str">
        <x:v>零跑科技</x:v>
      </x:c>
      <x:c r="E200" s="24" t="str">
        <x:v>11-18K·14薪</x:v>
      </x:c>
      <x:c r="F200" s="25" t="n">
        <x:v>11</x:v>
      </x:c>
      <x:c r="G200" s="24" t="str"/>
      <x:c r="H200" s="24" t="str"/>
    </x:row>
    <x:row r="201">
      <x:c r="A201" s="24" t="str">
        <x:v>杭州</x:v>
      </x:c>
      <x:c r="B201" s="24" t="str">
        <x:v>余杭区</x:v>
      </x:c>
      <x:c r="C201" s="24" t="str">
        <x:v>硬件开发工程师</x:v>
      </x:c>
      <x:c r="D201" s="24" t="str">
        <x:v>厚达智能</x:v>
      </x:c>
      <x:c r="E201" s="24" t="str">
        <x:v>8-10K</x:v>
      </x:c>
      <x:c r="F201" s="25" t="n">
        <x:v>8</x:v>
      </x:c>
      <x:c r="G201" s="24" t="str"/>
      <x:c r="H201" s="24" t="str"/>
    </x:row>
    <x:row r="202">
      <x:c r="A202" s="24" t="str">
        <x:v>杭州</x:v>
      </x:c>
      <x:c r="B202" s="24" t="str">
        <x:v>富阳区</x:v>
      </x:c>
      <x:c r="C202" s="24" t="str">
        <x:v>电气工艺工程师</x:v>
      </x:c>
      <x:c r="D202" s="24" t="str">
        <x:v>爱科科技</x:v>
      </x:c>
      <x:c r="E202" s="24" t="str">
        <x:v>5-6K</x:v>
      </x:c>
      <x:c r="F202" s="25" t="n">
        <x:v>5</x:v>
      </x:c>
      <x:c r="G202" s="24" t="str">
        <x:v>是</x:v>
      </x:c>
      <x:c r="H202" s="24" t="str">
        <x:v>是</x:v>
      </x:c>
    </x:row>
    <x:row r="203">
      <x:c r="A203" s="24" t="str">
        <x:v>杭州</x:v>
      </x:c>
      <x:c r="B203" s="24" t="str">
        <x:v>临安区</x:v>
      </x:c>
      <x:c r="C203" s="24" t="str">
        <x:v>助理应用工程师（机器人电缆）(J10356)</x:v>
      </x:c>
      <x:c r="D203" s="24" t="str">
        <x:v>万马股份</x:v>
      </x:c>
      <x:c r="E203" s="24" t="str">
        <x:v>8-15K</x:v>
      </x:c>
      <x:c r="F203" s="25" t="n">
        <x:v>8</x:v>
      </x:c>
      <x:c r="G203" s="24" t="str"/>
      <x:c r="H203" s="24" t="str"/>
    </x:row>
    <x:row r="204">
      <x:c r="A204" s="24" t="str">
        <x:v>杭州</x:v>
      </x:c>
      <x:c r="B204" s="24" t="str">
        <x:v>拱墅区</x:v>
      </x:c>
      <x:c r="C204" s="24" t="str">
        <x:v>FAE现场应用工程师（电源IC）</x:v>
      </x:c>
      <x:c r="D204" s="24" t="str">
        <x:v>芯洲科技</x:v>
      </x:c>
      <x:c r="E204" s="24" t="str">
        <x:v>12-18K·14薪</x:v>
      </x:c>
      <x:c r="F204" s="25" t="n">
        <x:v>12</x:v>
      </x:c>
      <x:c r="G204" s="24" t="str"/>
      <x:c r="H204" s="24" t="str"/>
    </x:row>
    <x:row r="205">
      <x:c r="A205" s="24" t="str">
        <x:v>杭州</x:v>
      </x:c>
      <x:c r="B205" s="24" t="str">
        <x:v>余杭区</x:v>
      </x:c>
      <x:c r="C205" s="24" t="str">
        <x:v>海外现场应用工程师（FAE）- 机器人方向</x:v>
      </x:c>
      <x:c r="D205" s="24" t="str">
        <x:v>蓝芯机器人</x:v>
      </x:c>
      <x:c r="E205" s="24" t="str">
        <x:v>8-10K·13薪</x:v>
      </x:c>
      <x:c r="F205" s="25" t="n">
        <x:v>8</x:v>
      </x:c>
      <x:c r="G205" s="24" t="str"/>
      <x:c r="H205" s="24" t="str"/>
    </x:row>
    <x:row r="206">
      <x:c r="A206" s="24" t="str">
        <x:v>杭州</x:v>
      </x:c>
      <x:c r="B206" s="24" t="str">
        <x:v>萧山区</x:v>
      </x:c>
      <x:c r="C206" s="24" t="str">
        <x:v>机械设备工程师</x:v>
      </x:c>
      <x:c r="D206" s="24" t="str">
        <x:v>万向一二三</x:v>
      </x:c>
      <x:c r="E206" s="24" t="str">
        <x:v>9-14K·14薪</x:v>
      </x:c>
      <x:c r="F206" s="25" t="n">
        <x:v>9</x:v>
      </x:c>
      <x:c r="G206" s="24" t="str">
        <x:v>是</x:v>
      </x:c>
      <x:c r="H206" s="24" t="str">
        <x:v>是</x:v>
      </x:c>
    </x:row>
    <x:row r="207">
      <x:c r="A207" s="24" t="str">
        <x:v>杭州</x:v>
      </x:c>
      <x:c r="B207" s="24" t="str">
        <x:v>拱墅区</x:v>
      </x:c>
      <x:c r="C207" s="24" t="str">
        <x:v>电力交易员助理</x:v>
      </x:c>
      <x:c r="D207" s="24" t="str">
        <x:v>宏博星辰</x:v>
      </x:c>
      <x:c r="E207" s="24" t="str">
        <x:v>6-8K</x:v>
      </x:c>
      <x:c r="F207" s="25" t="n">
        <x:v>6</x:v>
      </x:c>
      <x:c r="G207" s="24" t="str"/>
      <x:c r="H207" s="24" t="str"/>
    </x:row>
    <x:row r="208">
      <x:c r="A208" s="24" t="str">
        <x:v>杭州</x:v>
      </x:c>
      <x:c r="B208" s="24" t="str">
        <x:v>萧山区</x:v>
      </x:c>
      <x:c r="C208" s="24" t="str">
        <x:v>电力储备工程师</x:v>
      </x:c>
      <x:c r="D208" s="24" t="str">
        <x:v>顺发恒能</x:v>
      </x:c>
      <x:c r="E208" s="24" t="str">
        <x:v>8-10K</x:v>
      </x:c>
      <x:c r="F208" s="25" t="n">
        <x:v>8</x:v>
      </x:c>
      <x:c r="G208" s="24" t="str"/>
      <x:c r="H208" s="24" t="str"/>
    </x:row>
    <x:row r="209">
      <x:c r="A209" s="24" t="str">
        <x:v>杭州</x:v>
      </x:c>
      <x:c r="B209" s="24" t="str">
        <x:v>临平区</x:v>
      </x:c>
      <x:c r="C209" s="24" t="str">
        <x:v>配电设计工程师（接受应届生/实习生）</x:v>
      </x:c>
      <x:c r="D209" s="24" t="str">
        <x:v>极能科技</x:v>
      </x:c>
      <x:c r="E209" s="24" t="str">
        <x:v>3-5K</x:v>
      </x:c>
      <x:c r="F209" s="25" t="n">
        <x:v>3</x:v>
      </x:c>
      <x:c r="G209" s="24" t="str"/>
      <x:c r="H209" s="24" t="str"/>
    </x:row>
    <x:row r="210">
      <x:c r="A210" s="24" t="str">
        <x:v>杭州</x:v>
      </x:c>
      <x:c r="B210" s="24" t="str">
        <x:v>富阳区</x:v>
      </x:c>
      <x:c r="C210" s="24" t="str">
        <x:v>电气实习生（27届毕业可转正）</x:v>
      </x:c>
      <x:c r="D210" s="24" t="str">
        <x:v>杭州鹏成</x:v>
      </x:c>
      <x:c r="E210" s="24" t="str">
        <x:v>6-8K·13薪</x:v>
      </x:c>
      <x:c r="F210" s="25" t="n">
        <x:v>6</x:v>
      </x:c>
      <x:c r="G210" s="24" t="str"/>
      <x:c r="H210" s="24" t="str"/>
    </x:row>
    <x:row r="211">
      <x:c r="A211" s="24" t="str">
        <x:v>杭州</x:v>
      </x:c>
      <x:c r="B211" s="24" t="str">
        <x:v>余杭区</x:v>
      </x:c>
      <x:c r="C211" s="24" t="str">
        <x:v>硬件研发助理</x:v>
      </x:c>
      <x:c r="D211" s="24" t="str">
        <x:v>得明电子</x:v>
      </x:c>
      <x:c r="E211" s="24" t="str">
        <x:v>6-10K·14薪</x:v>
      </x:c>
      <x:c r="F211" s="25" t="n">
        <x:v>6</x:v>
      </x:c>
      <x:c r="G211" s="24" t="str"/>
      <x:c r="H211" s="24" t="str"/>
    </x:row>
    <x:row r="212">
      <x:c r="A212" s="24" t="str">
        <x:v>杭州</x:v>
      </x:c>
      <x:c r="B212" s="24" t="str"/>
      <x:c r="C212" s="24" t="str">
        <x:v>智能硬件-硬件测试-杭州</x:v>
      </x:c>
      <x:c r="D212" s="24" t="str">
        <x:v>中科创达</x:v>
      </x:c>
      <x:c r="E212" s="24" t="str">
        <x:v>10-15K</x:v>
      </x:c>
      <x:c r="F212" s="25" t="n">
        <x:v>10</x:v>
      </x:c>
      <x:c r="G212" s="24" t="str"/>
      <x:c r="H212" s="24" t="str"/>
    </x:row>
    <x:row r="213">
      <x:c r="A213" s="24" t="str">
        <x:v>杭州</x:v>
      </x:c>
      <x:c r="B213" s="24" t="str"/>
      <x:c r="C213" s="24" t="str">
        <x:v>设备技术员(电气))</x:v>
      </x:c>
      <x:c r="D213" s="24" t="str">
        <x:v>杭州格力</x:v>
      </x:c>
      <x:c r="E213" s="24" t="str">
        <x:v>6-8K</x:v>
      </x:c>
      <x:c r="F213" s="25" t="n">
        <x:v>6</x:v>
      </x:c>
      <x:c r="G213" s="24" t="str"/>
      <x:c r="H213" s="24" t="str"/>
    </x:row>
    <x:row r="214">
      <x:c r="A214" s="24" t="str">
        <x:v>杭州</x:v>
      </x:c>
      <x:c r="B214" s="24" t="str">
        <x:v>临平区</x:v>
      </x:c>
      <x:c r="C214" s="24" t="str">
        <x:v>电气工程师（应届生）</x:v>
      </x:c>
      <x:c r="D214" s="24" t="str">
        <x:v>正宇科技</x:v>
      </x:c>
      <x:c r="E214" s="24" t="str">
        <x:v>6-10K·14薪</x:v>
      </x:c>
      <x:c r="F214" s="25" t="n">
        <x:v>6</x:v>
      </x:c>
      <x:c r="G214" s="24" t="str"/>
      <x:c r="H214" s="24" t="str"/>
    </x:row>
    <x:row r="215">
      <x:c r="A215" s="24" t="str">
        <x:v>杭州</x:v>
      </x:c>
      <x:c r="B215" s="24" t="str">
        <x:v>滨江区</x:v>
      </x:c>
      <x:c r="C215" s="24" t="str">
        <x:v>飞控电气硬件工程师(002665)</x:v>
      </x:c>
      <x:c r="D215" s="24" t="str">
        <x:v>众合科技</x:v>
      </x:c>
      <x:c r="E215" s="24" t="str">
        <x:v>13-20K·15薪</x:v>
      </x:c>
      <x:c r="F215" s="25" t="n">
        <x:v>13</x:v>
      </x:c>
      <x:c r="G215" s="24" t="str"/>
      <x:c r="H215" s="24" t="str"/>
    </x:row>
    <x:row r="216">
      <x:c r="A216" s="24" t="str">
        <x:v>杭州</x:v>
      </x:c>
      <x:c r="B216" s="24" t="str"/>
      <x:c r="C216" s="24" t="str">
        <x:v>电气调试技术员</x:v>
      </x:c>
      <x:c r="D216" s="24" t="str">
        <x:v>中国能建集团华东院</x:v>
      </x:c>
      <x:c r="E216" s="24" t="str">
        <x:v>6-9K</x:v>
      </x:c>
      <x:c r="F216" s="25" t="n">
        <x:v>6</x:v>
      </x:c>
      <x:c r="G216" s="24" t="str"/>
      <x:c r="H216" s="24" t="str"/>
    </x:row>
    <x:row r="217">
      <x:c r="A217" s="24" t="str">
        <x:v>杭州</x:v>
      </x:c>
      <x:c r="B217" s="24" t="str"/>
      <x:c r="C217" s="24" t="str">
        <x:v>助理电气工程师</x:v>
      </x:c>
      <x:c r="D217" s="24" t="str">
        <x:v>万马科技</x:v>
      </x:c>
      <x:c r="E217" s="24" t="str">
        <x:v>7-9K</x:v>
      </x:c>
      <x:c r="F217" s="25" t="n">
        <x:v>7</x:v>
      </x:c>
      <x:c r="G217" s="24" t="str"/>
      <x:c r="H217" s="24" t="str"/>
    </x:row>
    <x:row r="218">
      <x:c r="A218" s="24" t="str">
        <x:v>杭州</x:v>
      </x:c>
      <x:c r="B218" s="24" t="str">
        <x:v>滨江区</x:v>
      </x:c>
      <x:c r="C218" s="24" t="str">
        <x:v>电气应届生</x:v>
      </x:c>
      <x:c r="D218" s="24" t="str">
        <x:v>正泰新能源</x:v>
      </x:c>
      <x:c r="E218" s="24" t="str">
        <x:v>7-12K</x:v>
      </x:c>
      <x:c r="F218" s="25" t="n">
        <x:v>7</x:v>
      </x:c>
      <x:c r="G218" s="24" t="str"/>
      <x:c r="H218" s="24" t="str"/>
    </x:row>
    <x:row r="219">
      <x:c r="A219" s="24" t="str">
        <x:v>杭州</x:v>
      </x:c>
      <x:c r="B219" s="24" t="str">
        <x:v>萧山区</x:v>
      </x:c>
      <x:c r="C219" s="24" t="str">
        <x:v>电气工程师 (MJ000031)</x:v>
      </x:c>
      <x:c r="D219" s="24" t="str">
        <x:v>杭州科百特过滤器材</x:v>
      </x:c>
      <x:c r="E219" s="24" t="str">
        <x:v>11-16K</x:v>
      </x:c>
      <x:c r="F219" s="25" t="n">
        <x:v>11</x:v>
      </x:c>
      <x:c r="G219" s="24" t="str"/>
      <x:c r="H219" s="24" t="str"/>
    </x:row>
    <x:row r="220">
      <x:c r="A220" s="24" t="str">
        <x:v>杭州</x:v>
      </x:c>
      <x:c r="B220" s="24" t="str"/>
      <x:c r="C220" s="24" t="str">
        <x:v>电气线束工程师（J10286）</x:v>
      </x:c>
      <x:c r="D220" s="24" t="str">
        <x:v>Xynova曦诺未来</x:v>
      </x:c>
      <x:c r="E220" s="24" t="str">
        <x:v>15-30K·15薪</x:v>
      </x:c>
      <x:c r="F220" s="25" t="n">
        <x:v>15</x:v>
      </x:c>
      <x:c r="G220" s="24" t="str"/>
      <x:c r="H220" s="24" t="str"/>
    </x:row>
    <x:row r="221">
      <x:c r="A221" s="24" t="str">
        <x:v>杭州</x:v>
      </x:c>
      <x:c r="B221" s="24" t="str">
        <x:v>滨江区</x:v>
      </x:c>
      <x:c r="C221" s="24" t="str">
        <x:v>2027届硬件工程师(J10157)</x:v>
      </x:c>
      <x:c r="D221" s="24" t="str">
        <x:v>华昱欣</x:v>
      </x:c>
      <x:c r="E221" s="24" t="str">
        <x:v>11-22K</x:v>
      </x:c>
      <x:c r="F221" s="25" t="n">
        <x:v>11</x:v>
      </x:c>
      <x:c r="G221" s="24" t="str"/>
      <x:c r="H221" s="24" t="str"/>
    </x:row>
    <x:row r="222">
      <x:c r="A222" s="24" t="str">
        <x:v>杭州</x:v>
      </x:c>
      <x:c r="B222" s="24" t="str"/>
      <x:c r="C222" s="24" t="str">
        <x:v>电气工程师</x:v>
      </x:c>
      <x:c r="D222" s="24" t="str">
        <x:v>中美华东</x:v>
      </x:c>
      <x:c r="E222" s="24" t="str">
        <x:v>7-8K·14薪</x:v>
      </x:c>
      <x:c r="F222" s="25" t="n">
        <x:v>7</x:v>
      </x:c>
      <x:c r="G222" s="24" t="str"/>
      <x:c r="H222" s="24" t="str"/>
    </x:row>
    <x:row r="223">
      <x:c r="A223" s="24" t="str">
        <x:v>杭州</x:v>
      </x:c>
      <x:c r="B223" s="24" t="str">
        <x:v>钱塘区</x:v>
      </x:c>
      <x:c r="C223" s="24" t="str">
        <x:v>27届电气实习生（可转正）</x:v>
      </x:c>
      <x:c r="D223" s="24" t="str">
        <x:v>沃镭智能</x:v>
      </x:c>
      <x:c r="E223" s="24" t="str">
        <x:v>3-4K</x:v>
      </x:c>
      <x:c r="F223" s="25" t="n">
        <x:v>3</x:v>
      </x:c>
      <x:c r="G223" s="24" t="str"/>
      <x:c r="H223" s="24" t="str"/>
    </x:row>
    <x:row r="224">
      <x:c r="A224" s="24" t="str">
        <x:v>杭州</x:v>
      </x:c>
      <x:c r="B224" s="24" t="str"/>
      <x:c r="C224" s="24" t="str">
        <x:v>27届（浙江杭州）-机电管培生</x:v>
      </x:c>
      <x:c r="D224" s="24" t="str">
        <x:v>JDB</x:v>
      </x:c>
      <x:c r="E224" s="24" t="str">
        <x:v>6-8K</x:v>
      </x:c>
      <x:c r="F224" s="25" t="n">
        <x:v>6</x:v>
      </x:c>
      <x:c r="G224" s="24" t="str"/>
      <x:c r="H224" s="24" t="str"/>
    </x:row>
    <x:row r="225">
      <x:c r="A225" s="24" t="str">
        <x:v>杭州</x:v>
      </x:c>
      <x:c r="B225" s="24" t="str">
        <x:v>钱塘区</x:v>
      </x:c>
      <x:c r="C225" s="24" t="str">
        <x:v>助理建筑电气设计师</x:v>
      </x:c>
      <x:c r="D225" s="24" t="str">
        <x:v>珂林莱机电</x:v>
      </x:c>
      <x:c r="E225" s="24" t="str">
        <x:v>4-7K·13薪</x:v>
      </x:c>
      <x:c r="F225" s="25" t="n">
        <x:v>4</x:v>
      </x:c>
      <x:c r="G225" s="24" t="str"/>
      <x:c r="H225" s="24" t="str"/>
    </x:row>
    <x:row r="226">
      <x:c r="A226" s="24" t="str">
        <x:v>杭州</x:v>
      </x:c>
      <x:c r="B226" s="24" t="str">
        <x:v>滨江区</x:v>
      </x:c>
      <x:c r="C226" s="24" t="str">
        <x:v>机器人-硬件设计工程师-杭州-2027届</x:v>
      </x:c>
      <x:c r="D226" s="24" t="str">
        <x:v>海康威视</x:v>
      </x:c>
      <x:c r="E226" s="24" t="str">
        <x:v>14-22K·15薪</x:v>
      </x:c>
      <x:c r="F226" s="25" t="n">
        <x:v>14</x:v>
      </x:c>
      <x:c r="G226" s="24" t="str"/>
      <x:c r="H226" s="24" t="str"/>
    </x:row>
    <x:row r="227">
      <x:c r="A227" s="24" t="str">
        <x:v>杭州</x:v>
      </x:c>
      <x:c r="B227" s="24" t="str"/>
      <x:c r="C227" s="24" t="str">
        <x:v>实习生（电气工程师）</x:v>
      </x:c>
      <x:c r="D227" s="24" t="str">
        <x:v>正工仓</x:v>
      </x:c>
      <x:c r="E227" s="24" t="str">
        <x:v>3-5K</x:v>
      </x:c>
      <x:c r="F227" s="25" t="n">
        <x:v>3</x:v>
      </x:c>
      <x:c r="G227" s="24" t="str"/>
      <x:c r="H227" s="24" t="str"/>
    </x:row>
    <x:row r="228">
      <x:c r="A228" s="24" t="str">
        <x:v>杭州</x:v>
      </x:c>
      <x:c r="B228" s="24" t="str">
        <x:v>临平区</x:v>
      </x:c>
      <x:c r="C228" s="24" t="str">
        <x:v>工业自动化焊接机器人售前</x:v>
      </x:c>
      <x:c r="D228" s="24" t="str">
        <x:v>创想智控</x:v>
      </x:c>
      <x:c r="E228" s="24" t="str">
        <x:v>8-13K·13薪</x:v>
      </x:c>
      <x:c r="F228" s="25" t="n">
        <x:v>8</x:v>
      </x:c>
      <x:c r="G228" s="24" t="str"/>
      <x:c r="H228" s="24" t="str"/>
    </x:row>
    <x:row r="229">
      <x:c r="A229" s="24" t="str">
        <x:v>杭州</x:v>
      </x:c>
      <x:c r="B229" s="24" t="str">
        <x:v>余杭区</x:v>
      </x:c>
      <x:c r="C229" s="24" t="str">
        <x:v>硬件测试</x:v>
      </x:c>
      <x:c r="D229" s="24" t="str">
        <x:v>杭州芯桥智联</x:v>
      </x:c>
      <x:c r="E229" s="24" t="str">
        <x:v>8-11K</x:v>
      </x:c>
      <x:c r="F229" s="25" t="n">
        <x:v>8</x:v>
      </x:c>
      <x:c r="G229" s="24" t="str"/>
      <x:c r="H229" s="24" t="str"/>
    </x:row>
    <x:row r="230">
      <x:c r="A230" s="24" t="str">
        <x:v>杭州</x:v>
      </x:c>
      <x:c r="B230" s="24" t="str">
        <x:v>滨江区</x:v>
      </x:c>
      <x:c r="C230" s="24" t="str">
        <x:v>【2027届校招】硬件测试工程师</x:v>
      </x:c>
      <x:c r="D230" s="24" t="str">
        <x:v>易思维</x:v>
      </x:c>
      <x:c r="E230" s="24" t="str">
        <x:v>11-16K·14薪</x:v>
      </x:c>
      <x:c r="F230" s="25" t="n">
        <x:v>11</x:v>
      </x:c>
      <x:c r="G230" s="24" t="str"/>
      <x:c r="H230" s="24" t="str"/>
    </x:row>
    <x:row r="231">
      <x:c r="A231" s="24" t="str">
        <x:v>杭州</x:v>
      </x:c>
      <x:c r="B231" s="24" t="str">
        <x:v>临安区</x:v>
      </x:c>
      <x:c r="C231" s="24" t="str">
        <x:v>硬件工程师</x:v>
      </x:c>
      <x:c r="D231" s="24" t="str">
        <x:v>禾川</x:v>
      </x:c>
      <x:c r="E231" s="24" t="str">
        <x:v>9-14K</x:v>
      </x:c>
      <x:c r="F231" s="25" t="n">
        <x:v>9</x:v>
      </x:c>
      <x:c r="G231" s="24" t="str"/>
      <x:c r="H231" s="24" t="str"/>
    </x:row>
    <x:row r="232">
      <x:c r="A232" s="24" t="str">
        <x:v>杭州</x:v>
      </x:c>
      <x:c r="B232" s="24" t="str">
        <x:v>滨江区</x:v>
      </x:c>
      <x:c r="C232" s="24" t="str">
        <x:v>机器人校招-硬件设计工程师-杭州</x:v>
      </x:c>
      <x:c r="D232" s="24" t="str">
        <x:v>海康威视</x:v>
      </x:c>
      <x:c r="E232" s="24" t="str">
        <x:v>15-25K·15薪</x:v>
      </x:c>
      <x:c r="F232" s="25" t="n">
        <x:v>15</x:v>
      </x:c>
      <x:c r="G232" s="24" t="str"/>
      <x:c r="H232" s="24" t="str"/>
    </x:row>
    <x:row r="233">
      <x:c r="A233" s="24" t="str">
        <x:v>杭州</x:v>
      </x:c>
      <x:c r="B233" s="24" t="str">
        <x:v>滨江区</x:v>
      </x:c>
      <x:c r="C233" s="24" t="str">
        <x:v>硬件工程师</x:v>
      </x:c>
      <x:c r="D233" s="24" t="str">
        <x:v>华为</x:v>
      </x:c>
      <x:c r="E233" s="24" t="str">
        <x:v>20-30K·16薪</x:v>
      </x:c>
      <x:c r="F233" s="25" t="n">
        <x:v>20</x:v>
      </x:c>
      <x:c r="G233" s="24" t="str"/>
      <x:c r="H233" s="24" t="str"/>
    </x:row>
    <x:row r="234">
      <x:c r="A234" s="24" t="str">
        <x:v>杭州</x:v>
      </x:c>
      <x:c r="B234" s="24" t="str">
        <x:v>钱塘区</x:v>
      </x:c>
      <x:c r="C234" s="24" t="str">
        <x:v>嵌入式硬件工程师</x:v>
      </x:c>
      <x:c r="D234" s="24" t="str">
        <x:v>宁波英孚机器人</x:v>
      </x:c>
      <x:c r="E234" s="24" t="str">
        <x:v>8-12K·16薪</x:v>
      </x:c>
      <x:c r="F234" s="25" t="n">
        <x:v>8</x:v>
      </x:c>
      <x:c r="G234" s="24" t="str"/>
      <x:c r="H234" s="24" t="str"/>
    </x:row>
    <x:row r="235">
      <x:c r="A235" s="24" t="str">
        <x:v>杭州</x:v>
      </x:c>
      <x:c r="B235" s="24" t="str">
        <x:v>滨江区</x:v>
      </x:c>
      <x:c r="C235" s="24" t="str">
        <x:v>硬件测试工程师</x:v>
      </x:c>
      <x:c r="D235" s="24" t="str">
        <x:v>安闳</x:v>
      </x:c>
      <x:c r="E235" s="24" t="str">
        <x:v>10-13K·14薪</x:v>
      </x:c>
      <x:c r="F235" s="25" t="n">
        <x:v>10</x:v>
      </x:c>
      <x:c r="G235" s="24" t="str"/>
      <x:c r="H235" s="24" t="str"/>
    </x:row>
    <x:row r="236">
      <x:c r="A236" s="24" t="str">
        <x:v>杭州</x:v>
      </x:c>
      <x:c r="B236" s="24" t="str"/>
      <x:c r="C236" s="24" t="str">
        <x:v>（26届）pcb硬件工程师</x:v>
      </x:c>
      <x:c r="D236" s="24" t="str">
        <x:v>芯劢微</x:v>
      </x:c>
      <x:c r="E236" s="24" t="str">
        <x:v>7-12K</x:v>
      </x:c>
      <x:c r="F236" s="25" t="n">
        <x:v>7</x:v>
      </x:c>
      <x:c r="G236" s="24" t="str"/>
      <x:c r="H236" s="24" t="str"/>
    </x:row>
    <x:row r="237">
      <x:c r="A237" s="24" t="str">
        <x:v>杭州</x:v>
      </x:c>
      <x:c r="B237" s="24" t="str"/>
      <x:c r="C237" s="24" t="str">
        <x:v>硬件测试工程师（J10287）</x:v>
      </x:c>
      <x:c r="D237" s="24" t="str">
        <x:v>Xynova曦诺未来</x:v>
      </x:c>
      <x:c r="E237" s="24" t="str">
        <x:v>15-30K·15薪</x:v>
      </x:c>
      <x:c r="F237" s="25" t="n">
        <x:v>15</x:v>
      </x:c>
      <x:c r="G237" s="24" t="str"/>
      <x:c r="H237" s="24" t="str"/>
    </x:row>
    <x:row r="238">
      <x:c r="A238" s="24" t="str">
        <x:v>杭州</x:v>
      </x:c>
      <x:c r="B238" s="24" t="str">
        <x:v>滨江区</x:v>
      </x:c>
      <x:c r="C238" s="24" t="str">
        <x:v>【校招】单板——硬件技术工程师</x:v>
      </x:c>
      <x:c r="D238" s="24" t="str">
        <x:v>上海华为技术有限公司</x:v>
      </x:c>
      <x:c r="E238" s="24" t="str">
        <x:v>20-30K</x:v>
      </x:c>
      <x:c r="F238" s="25" t="n">
        <x:v>20</x:v>
      </x:c>
      <x:c r="G238" s="24" t="str"/>
      <x:c r="H238" s="24" t="str"/>
    </x:row>
    <x:row r="239">
      <x:c r="A239" s="24" t="str">
        <x:v>杭州</x:v>
      </x:c>
      <x:c r="B239" s="24" t="str">
        <x:v>余杭区</x:v>
      </x:c>
      <x:c r="C239" s="24" t="str">
        <x:v>电子硬件工程师助理</x:v>
      </x:c>
      <x:c r="D239" s="24" t="str">
        <x:v>功尊</x:v>
      </x:c>
      <x:c r="E239" s="24" t="str">
        <x:v>4-6K</x:v>
      </x:c>
      <x:c r="F239" s="25" t="n">
        <x:v>4</x:v>
      </x:c>
      <x:c r="G239" s="24" t="str"/>
      <x:c r="H239" s="24" t="str"/>
    </x:row>
    <x:row r="240">
      <x:c r="A240" s="24" t="str">
        <x:v>杭州</x:v>
      </x:c>
      <x:c r="B240" s="24" t="str">
        <x:v>钱塘区</x:v>
      </x:c>
      <x:c r="C240" s="24" t="str">
        <x:v>硬件工程师助理</x:v>
      </x:c>
      <x:c r="D240" s="24" t="str">
        <x:v>杭州遂真</x:v>
      </x:c>
      <x:c r="E240" s="24" t="str">
        <x:v>3-4K</x:v>
      </x:c>
      <x:c r="F240" s="25" t="n">
        <x:v>3</x:v>
      </x:c>
      <x:c r="G240" s="24" t="str"/>
      <x:c r="H240" s="24" t="str"/>
    </x:row>
    <x:row r="241">
      <x:c r="A241" s="24" t="str">
        <x:v>杭州</x:v>
      </x:c>
      <x:c r="B241" s="24" t="str">
        <x:v>萧山区</x:v>
      </x:c>
      <x:c r="C241" s="24" t="str">
        <x:v>硬件助理工程师</x:v>
      </x:c>
      <x:c r="D241" s="24" t="str">
        <x:v>视得科技</x:v>
      </x:c>
      <x:c r="E241" s="24" t="str">
        <x:v>4-8K·13薪</x:v>
      </x:c>
      <x:c r="F241" s="25" t="n">
        <x:v>4</x:v>
      </x:c>
      <x:c r="G241" s="24" t="str"/>
      <x:c r="H241" s="24" t="str"/>
    </x:row>
    <x:row r="242">
      <x:c r="A242" s="24" t="str">
        <x:v>杭州</x:v>
      </x:c>
      <x:c r="B242" s="24" t="str">
        <x:v>余杭区</x:v>
      </x:c>
      <x:c r="C242" s="24" t="str">
        <x:v>单片机软硬件工程师</x:v>
      </x:c>
      <x:c r="D242" s="24" t="str">
        <x:v>晟唐汇智</x:v>
      </x:c>
      <x:c r="E242" s="24" t="str">
        <x:v>10-15K·14薪</x:v>
      </x:c>
      <x:c r="F242" s="25" t="n">
        <x:v>10</x:v>
      </x:c>
      <x:c r="G242" s="24" t="str"/>
      <x:c r="H242" s="24" t="str"/>
    </x:row>
    <x:row r="243">
      <x:c r="A243" s="24" t="str">
        <x:v>杭州</x:v>
      </x:c>
      <x:c r="B243" s="24" t="str"/>
      <x:c r="C243" s="24" t="str">
        <x:v>单板硬件开发工程师</x:v>
      </x:c>
      <x:c r="D243" s="24" t="str">
        <x:v>华为云计算技术</x:v>
      </x:c>
      <x:c r="E243" s="24" t="str">
        <x:v>20-40K</x:v>
      </x:c>
      <x:c r="F243" s="25" t="n">
        <x:v>20</x:v>
      </x:c>
      <x:c r="G243" s="24" t="str"/>
      <x:c r="H243" s="24" t="str"/>
    </x:row>
    <x:row r="244">
      <x:c r="A244" s="24" t="str">
        <x:v>杭州</x:v>
      </x:c>
      <x:c r="B244" s="24" t="str">
        <x:v>临平区</x:v>
      </x:c>
      <x:c r="C244" s="24" t="str">
        <x:v>嵌入式软硬件开发工程师（27届研发管培生）</x:v>
      </x:c>
      <x:c r="D244" s="24" t="str">
        <x:v>立镖机器人</x:v>
      </x:c>
      <x:c r="E244" s="24" t="str">
        <x:v>8-13K</x:v>
      </x:c>
      <x:c r="F244" s="25" t="n">
        <x:v>8</x:v>
      </x:c>
      <x:c r="G244" s="24" t="str"/>
      <x:c r="H244" s="24" t="str"/>
    </x:row>
    <x:row r="245">
      <x:c r="A245" s="24" t="str">
        <x:v>杭州</x:v>
      </x:c>
      <x:c r="B245" s="24" t="str">
        <x:v>余杭区</x:v>
      </x:c>
      <x:c r="C245" s="24" t="str">
        <x:v>助理硬件工程师</x:v>
      </x:c>
      <x:c r="D245" s="24" t="str">
        <x:v>安尼</x:v>
      </x:c>
      <x:c r="E245" s="24" t="str">
        <x:v>8-12K</x:v>
      </x:c>
      <x:c r="F245" s="25" t="n">
        <x:v>8</x:v>
      </x:c>
      <x:c r="G245" s="24" t="str"/>
      <x:c r="H245" s="24" t="str"/>
    </x:row>
    <x:row r="246">
      <x:c r="A246" s="24" t="str">
        <x:v>杭州</x:v>
      </x:c>
      <x:c r="B246" s="24" t="str">
        <x:v>上城区</x:v>
      </x:c>
      <x:c r="C246" s="24" t="str">
        <x:v>自动化测试工程师（杭州）</x:v>
      </x:c>
      <x:c r="D246" s="24" t="str">
        <x:v>轻网智能</x:v>
      </x:c>
      <x:c r="E246" s="24" t="str">
        <x:v>14-20K</x:v>
      </x:c>
      <x:c r="F246" s="25" t="n">
        <x:v>14</x:v>
      </x:c>
      <x:c r="G246" s="24" t="str"/>
      <x:c r="H246" s="24" t="str"/>
    </x:row>
    <x:row r="247">
      <x:c r="A247" s="24" t="str">
        <x:v>杭州</x:v>
      </x:c>
      <x:c r="B247" s="24" t="str">
        <x:v>钱塘区</x:v>
      </x:c>
      <x:c r="C247" s="24" t="str">
        <x:v>自动化测试工程师</x:v>
      </x:c>
      <x:c r="D247" s="24" t="str">
        <x:v>和利时</x:v>
      </x:c>
      <x:c r="E247" s="24" t="str">
        <x:v>5-8K</x:v>
      </x:c>
      <x:c r="F247" s="25" t="n">
        <x:v>5</x:v>
      </x:c>
      <x:c r="G247" s="24" t="str"/>
      <x:c r="H247" s="24" t="str"/>
    </x:row>
    <x:row r="248">
      <x:c r="A248" s="24" t="str">
        <x:v>泰州</x:v>
      </x:c>
      <x:c r="B248" s="24" t="str">
        <x:v>姜堰区</x:v>
      </x:c>
      <x:c r="C248" s="24" t="str">
        <x:v>2026届校招-职能类-设备工程师</x:v>
      </x:c>
      <x:c r="D248" s="24" t="str">
        <x:v>双登股份</x:v>
      </x:c>
      <x:c r="E248" s="24" t="str">
        <x:v>6-7K</x:v>
      </x:c>
      <x:c r="F248" s="25" t="n">
        <x:v>6</x:v>
      </x:c>
      <x:c r="G248" s="24" t="str"/>
      <x:c r="H248" s="24" t="str"/>
    </x:row>
    <x:row r="249">
      <x:c r="A249" s="24" t="str">
        <x:v>泰州</x:v>
      </x:c>
      <x:c r="B249" s="24" t="str">
        <x:v>高港区</x:v>
      </x:c>
      <x:c r="C249" s="24" t="str">
        <x:v>设备工程师（动力）</x:v>
      </x:c>
      <x:c r="D249" s="24" t="str">
        <x:v>扬子江药业</x:v>
      </x:c>
      <x:c r="E249" s="24" t="str">
        <x:v>6-10K</x:v>
      </x:c>
      <x:c r="F249" s="25" t="n">
        <x:v>6</x:v>
      </x:c>
      <x:c r="G249" s="24" t="str">
        <x:v>是</x:v>
      </x:c>
      <x:c r="H249" s="24" t="str">
        <x:v>是</x:v>
      </x:c>
    </x:row>
    <x:row r="250">
      <x:c r="A250" s="24" t="str">
        <x:v>泰州</x:v>
      </x:c>
      <x:c r="B250" s="24" t="str">
        <x:v>姜堰区</x:v>
      </x:c>
      <x:c r="C250" s="24" t="str">
        <x:v>机电工程师助理</x:v>
      </x:c>
      <x:c r="D250" s="24" t="str">
        <x:v>汇世通</x:v>
      </x:c>
      <x:c r="E250" s="24" t="str">
        <x:v>4-6K·13薪</x:v>
      </x:c>
      <x:c r="F250" s="25" t="n">
        <x:v>4</x:v>
      </x:c>
      <x:c r="G250" s="24" t="str"/>
      <x:c r="H250" s="24" t="str"/>
    </x:row>
    <x:row r="251">
      <x:c r="A251" s="24" t="str">
        <x:v>泰州</x:v>
      </x:c>
      <x:c r="B251" s="24" t="str">
        <x:v>海陵区</x:v>
      </x:c>
      <x:c r="C251" s="24" t="str">
        <x:v>设备工程师助理</x:v>
      </x:c>
      <x:c r="D251" s="24" t="str">
        <x:v>南壁新能源</x:v>
      </x:c>
      <x:c r="E251" s="24" t="str">
        <x:v>3-6K</x:v>
      </x:c>
      <x:c r="F251" s="25" t="n">
        <x:v>3</x:v>
      </x:c>
      <x:c r="G251" s="24" t="str"/>
      <x:c r="H251" s="24" t="str"/>
    </x:row>
    <x:row r="252">
      <x:c r="A252" s="24" t="str">
        <x:v>泰州</x:v>
      </x:c>
      <x:c r="B252" s="24" t="str"/>
      <x:c r="C252" s="24" t="str">
        <x:v>机电工程师、机械专业、零部件来料品质检验</x:v>
      </x:c>
      <x:c r="D252" s="24" t="str">
        <x:v>SOEM</x:v>
      </x:c>
      <x:c r="E252" s="24" t="str">
        <x:v>5-6K</x:v>
      </x:c>
      <x:c r="F252" s="25" t="n">
        <x:v>5</x:v>
      </x:c>
      <x:c r="G252" s="24" t="str"/>
      <x:c r="H252" s="24" t="str"/>
    </x:row>
    <x:row r="253">
      <x:c r="A253" s="24" t="str">
        <x:v>泰州</x:v>
      </x:c>
      <x:c r="B253" s="24" t="str">
        <x:v>海陵区</x:v>
      </x:c>
      <x:c r="C253" s="24" t="str">
        <x:v>生产储备生（泰州）-食品、药品、机械电气</x:v>
      </x:c>
      <x:c r="D253" s="24" t="str">
        <x:v>恩必普</x:v>
      </x:c>
      <x:c r="E253" s="24" t="str">
        <x:v>6-8K</x:v>
      </x:c>
      <x:c r="F253" s="25" t="n">
        <x:v>6</x:v>
      </x:c>
      <x:c r="G253" s="24" t="str"/>
      <x:c r="H253" s="24" t="str"/>
    </x:row>
    <x:row r="254">
      <x:c r="A254" s="24" t="str">
        <x:v>泰州</x:v>
      </x:c>
      <x:c r="B254" s="24" t="str"/>
      <x:c r="C254" s="24" t="str">
        <x:v>机电工程师助理</x:v>
      </x:c>
      <x:c r="D254" s="24" t="str">
        <x:v>江苏怡家酒店管理</x:v>
      </x:c>
      <x:c r="E254" s="24" t="str">
        <x:v>4-5K</x:v>
      </x:c>
      <x:c r="F254" s="25" t="n">
        <x:v>4</x:v>
      </x:c>
      <x:c r="G254" s="24" t="str"/>
      <x:c r="H254" s="24" t="str"/>
    </x:row>
    <x:row r="255">
      <x:c r="A255" s="24" t="str">
        <x:v>泰州</x:v>
      </x:c>
      <x:c r="B255" s="24" t="str">
        <x:v>高港区</x:v>
      </x:c>
      <x:c r="C255" s="24" t="str">
        <x:v>设备工程师</x:v>
      </x:c>
      <x:c r="D255" s="24" t="str">
        <x:v>扬子江药业</x:v>
      </x:c>
      <x:c r="E255" s="24" t="str">
        <x:v>6-10K</x:v>
      </x:c>
      <x:c r="F255" s="25" t="n">
        <x:v>6</x:v>
      </x:c>
      <x:c r="G255" s="24" t="str">
        <x:v>是</x:v>
      </x:c>
      <x:c r="H255" s="24" t="str">
        <x:v>是</x:v>
      </x:c>
    </x:row>
    <x:row r="256">
      <x:c r="A256" s="24" t="str">
        <x:v>泰州</x:v>
      </x:c>
      <x:c r="B256" s="24" t="str">
        <x:v>海陵区</x:v>
      </x:c>
      <x:c r="C256" s="24" t="str">
        <x:v>设备工程师</x:v>
      </x:c>
      <x:c r="D256" s="24" t="str">
        <x:v>南壁新能源</x:v>
      </x:c>
      <x:c r="E256" s="24" t="str">
        <x:v>4-5K</x:v>
      </x:c>
      <x:c r="F256" s="25" t="n">
        <x:v>4</x:v>
      </x:c>
      <x:c r="G256" s="24" t="str"/>
      <x:c r="H256" s="24" t="str"/>
    </x:row>
    <x:row r="257">
      <x:c r="A257" s="24" t="str">
        <x:v>泰州</x:v>
      </x:c>
      <x:c r="B257" s="24" t="str"/>
      <x:c r="C257" s="24" t="str">
        <x:v>自动化技术员</x:v>
      </x:c>
      <x:c r="D257" s="24" t="str">
        <x:v>中化康源</x:v>
      </x:c>
      <x:c r="E257" s="24" t="str">
        <x:v>6-8K·14薪</x:v>
      </x:c>
      <x:c r="F257" s="25" t="n">
        <x:v>6</x:v>
      </x:c>
      <x:c r="G257" s="24" t="str"/>
      <x:c r="H257" s="24" t="str"/>
    </x:row>
    <x:row r="258">
      <x:c r="A258" s="24" t="str">
        <x:v>泰州</x:v>
      </x:c>
      <x:c r="B258" s="24" t="str">
        <x:v>海陵区</x:v>
      </x:c>
      <x:c r="C258" s="24" t="str">
        <x:v>应届生（弱电技术岗）</x:v>
      </x:c>
      <x:c r="D258" s="24" t="str">
        <x:v>江苏盛泰科技</x:v>
      </x:c>
      <x:c r="E258" s="24" t="str">
        <x:v>3-5K</x:v>
      </x:c>
      <x:c r="F258" s="25" t="n">
        <x:v>3</x:v>
      </x:c>
      <x:c r="G258" s="24" t="str"/>
      <x:c r="H258" s="24" t="str"/>
    </x:row>
    <x:row r="259">
      <x:c r="A259" s="24" t="str">
        <x:v>淮安</x:v>
      </x:c>
      <x:c r="B259" s="24" t="str">
        <x:v>淮阴区</x:v>
      </x:c>
      <x:c r="C259" s="24" t="str">
        <x:v>分布式光伏项目勘测员</x:v>
      </x:c>
      <x:c r="D259" s="24" t="str">
        <x:v>江苏中坤能源管理</x:v>
      </x:c>
      <x:c r="E259" s="24" t="str">
        <x:v>4-5K</x:v>
      </x:c>
      <x:c r="F259" s="25" t="n">
        <x:v>4</x:v>
      </x:c>
      <x:c r="G259" s="24" t="str">
        <x:v>是</x:v>
      </x:c>
      <x:c r="H259" s="24" t="str"/>
    </x:row>
    <x:row r="260">
      <x:c r="A260" s="24" t="str">
        <x:v>淮安</x:v>
      </x:c>
      <x:c r="B260" s="24" t="str">
        <x:v>淮阴区</x:v>
      </x:c>
      <x:c r="C260" s="24" t="str">
        <x:v>分布式光伏项目勘探外勤</x:v>
      </x:c>
      <x:c r="D260" s="24" t="str">
        <x:v>江苏中坤能源管理</x:v>
      </x:c>
      <x:c r="E260" s="24" t="str">
        <x:v>4-8K</x:v>
      </x:c>
      <x:c r="F260" s="25" t="n">
        <x:v>4</x:v>
      </x:c>
      <x:c r="G260" s="24" t="str"/>
      <x:c r="H260" s="24" t="str"/>
    </x:row>
    <x:row r="261">
      <x:c r="A261" s="24" t="str">
        <x:v>淮安</x:v>
      </x:c>
      <x:c r="B261" s="24" t="str">
        <x:v>清江浦区</x:v>
      </x:c>
      <x:c r="C261" s="24" t="str">
        <x:v>弱电工程师</x:v>
      </x:c>
      <x:c r="D261" s="24" t="str">
        <x:v>淮安普天</x:v>
      </x:c>
      <x:c r="E261" s="24" t="str">
        <x:v>3-8K·14薪</x:v>
      </x:c>
      <x:c r="F261" s="25" t="n">
        <x:v>3</x:v>
      </x:c>
      <x:c r="G261" s="24" t="str"/>
      <x:c r="H261" s="24" t="str"/>
    </x:row>
    <x:row r="262">
      <x:c r="A262" s="24" t="str">
        <x:v>温州</x:v>
      </x:c>
      <x:c r="B262" s="24" t="str">
        <x:v>龙湾区</x:v>
      </x:c>
      <x:c r="C262" s="24" t="str">
        <x:v>厂务技术员</x:v>
      </x:c>
      <x:c r="D262" s="24" t="str">
        <x:v>天好</x:v>
      </x:c>
      <x:c r="E262" s="24" t="str">
        <x:v>5-10K·13薪</x:v>
      </x:c>
      <x:c r="F262" s="25" t="n">
        <x:v>5</x:v>
      </x:c>
      <x:c r="G262" s="24" t="str"/>
      <x:c r="H262" s="24" t="str"/>
    </x:row>
    <x:row r="263">
      <x:c r="A263" s="24" t="str">
        <x:v>温州</x:v>
      </x:c>
      <x:c r="B263" s="24" t="str">
        <x:v>龙湾区</x:v>
      </x:c>
      <x:c r="C263" s="24" t="str">
        <x:v>现场工程师（机械、电气、材料等工科专业）</x:v>
      </x:c>
      <x:c r="D263" s="24" t="str">
        <x:v>人本集团有限公司</x:v>
      </x:c>
      <x:c r="E263" s="24" t="str">
        <x:v>6-8K·13薪</x:v>
      </x:c>
      <x:c r="F263" s="25" t="n">
        <x:v>6</x:v>
      </x:c>
      <x:c r="G263" s="24" t="str">
        <x:v>是</x:v>
      </x:c>
      <x:c r="H263" s="24" t="str">
        <x:v>是</x:v>
      </x:c>
    </x:row>
    <x:row r="264">
      <x:c r="A264" s="24" t="str">
        <x:v>温州</x:v>
      </x:c>
      <x:c r="B264" s="24" t="str"/>
      <x:c r="C264" s="24" t="str">
        <x:v>电子工程师助理</x:v>
      </x:c>
      <x:c r="D264" s="24" t="str">
        <x:v>温州瓯潮电子技术...</x:v>
      </x:c>
      <x:c r="E264" s="24" t="str">
        <x:v>4-6K</x:v>
      </x:c>
      <x:c r="F264" s="25" t="n">
        <x:v>4</x:v>
      </x:c>
      <x:c r="G264" s="24" t="str"/>
      <x:c r="H264" s="24" t="str"/>
    </x:row>
    <x:row r="265">
      <x:c r="A265" s="24" t="str">
        <x:v>温州</x:v>
      </x:c>
      <x:c r="B265" s="24" t="str">
        <x:v>乐清市</x:v>
      </x:c>
      <x:c r="C265" s="24" t="str">
        <x:v>嵌入式软硬件工程师</x:v>
      </x:c>
      <x:c r="D265" s="24" t="str">
        <x:v>朗多电子</x:v>
      </x:c>
      <x:c r="E265" s="24" t="str">
        <x:v>7-10K</x:v>
      </x:c>
      <x:c r="F265" s="25" t="n">
        <x:v>7</x:v>
      </x:c>
      <x:c r="G265" s="24" t="str"/>
      <x:c r="H265" s="24" t="str"/>
    </x:row>
    <x:row r="266">
      <x:c r="A266" s="24" t="str">
        <x:v>温州</x:v>
      </x:c>
      <x:c r="B266" s="24" t="str">
        <x:v>瓯海区</x:v>
      </x:c>
      <x:c r="C266" s="24" t="str">
        <x:v>手机电脑维修</x:v>
      </x:c>
      <x:c r="D266" s="24" t="str">
        <x:v>温州皮卡丘数码科技</x:v>
      </x:c>
      <x:c r="E266" s="24" t="str">
        <x:v>5-6K</x:v>
      </x:c>
      <x:c r="F266" s="25" t="n">
        <x:v>5</x:v>
      </x:c>
      <x:c r="G266" s="24" t="str"/>
      <x:c r="H266" s="24" t="str"/>
    </x:row>
    <x:row r="267">
      <x:c r="A267" s="24" t="str">
        <x:v>温州</x:v>
      </x:c>
      <x:c r="B267" s="24" t="str">
        <x:v>永嘉县</x:v>
      </x:c>
      <x:c r="C267" s="24" t="str">
        <x:v>机电设计-储备干部</x:v>
      </x:c>
      <x:c r="D267" s="24" t="str">
        <x:v>方圆机床</x:v>
      </x:c>
      <x:c r="E267" s="24" t="str">
        <x:v>6-9K</x:v>
      </x:c>
      <x:c r="F267" s="25" t="n">
        <x:v>6</x:v>
      </x:c>
      <x:c r="G267" s="24" t="str"/>
      <x:c r="H267" s="24" t="str"/>
    </x:row>
    <x:row r="268">
      <x:c r="A268" s="24" t="str">
        <x:v>温州</x:v>
      </x:c>
      <x:c r="B268" s="24" t="str">
        <x:v>龙湾区</x:v>
      </x:c>
      <x:c r="C268" s="24" t="str">
        <x:v>自动化设备调试</x:v>
      </x:c>
      <x:c r="D268" s="24" t="str">
        <x:v>温州科宸</x:v>
      </x:c>
      <x:c r="E268" s="24" t="str">
        <x:v>4-5K</x:v>
      </x:c>
      <x:c r="F268" s="25" t="n">
        <x:v>4</x:v>
      </x:c>
      <x:c r="G268" s="24" t="str"/>
      <x:c r="H268" s="24" t="str"/>
    </x:row>
    <x:row r="269">
      <x:c r="A269" s="24" t="str">
        <x:v>温州</x:v>
      </x:c>
      <x:c r="B269" s="24" t="str">
        <x:v>平阳县</x:v>
      </x:c>
      <x:c r="C269" s="24" t="str">
        <x:v>软硬件工程师</x:v>
      </x:c>
      <x:c r="D269" s="24" t="str">
        <x:v>智铖电子</x:v>
      </x:c>
      <x:c r="E269" s="24" t="str">
        <x:v>10-20K</x:v>
      </x:c>
      <x:c r="F269" s="25" t="n">
        <x:v>10</x:v>
      </x:c>
      <x:c r="G269" s="24" t="str"/>
      <x:c r="H269" s="24" t="str"/>
    </x:row>
    <x:row r="270">
      <x:c r="A270" s="24" t="str">
        <x:v>温州</x:v>
      </x:c>
      <x:c r="B270" s="24" t="str"/>
      <x:c r="C270" s="24" t="str">
        <x:v>【26届】机械设备工程师</x:v>
      </x:c>
      <x:c r="D270" s="24" t="str">
        <x:v>浙江一鸣食品有限公司</x:v>
      </x:c>
      <x:c r="E270" s="24" t="str">
        <x:v>6-7K·13薪</x:v>
      </x:c>
      <x:c r="F270" s="25" t="n">
        <x:v>6</x:v>
      </x:c>
      <x:c r="G270" s="24" t="str">
        <x:v>是</x:v>
      </x:c>
      <x:c r="H270" s="24" t="str">
        <x:v>是</x:v>
      </x:c>
    </x:row>
    <x:row r="271">
      <x:c r="A271" s="24" t="str">
        <x:v>温州</x:v>
      </x:c>
      <x:c r="B271" s="24" t="str">
        <x:v>龙湾区</x:v>
      </x:c>
      <x:c r="C271" s="24" t="str">
        <x:v>机械设备工程师</x:v>
      </x:c>
      <x:c r="D271" s="24" t="str">
        <x:v>人本集团有限公司</x:v>
      </x:c>
      <x:c r="E271" s="24" t="str">
        <x:v>6-8K</x:v>
      </x:c>
      <x:c r="F271" s="25" t="n">
        <x:v>6</x:v>
      </x:c>
      <x:c r="G271" s="24" t="str">
        <x:v>是</x:v>
      </x:c>
      <x:c r="H271" s="24" t="str">
        <x:v>是</x:v>
      </x:c>
    </x:row>
    <x:row r="272">
      <x:c r="A272" s="24" t="str">
        <x:v>湖州</x:v>
      </x:c>
      <x:c r="B272" s="24" t="str">
        <x:v>长兴县</x:v>
      </x:c>
      <x:c r="C272" s="24" t="str">
        <x:v>光伏项目经理助理</x:v>
      </x:c>
      <x:c r="D272" s="24" t="str">
        <x:v>柚橙新能源</x:v>
      </x:c>
      <x:c r="E272" s="24" t="str">
        <x:v>3-5K</x:v>
      </x:c>
      <x:c r="F272" s="25" t="n">
        <x:v>3</x:v>
      </x:c>
      <x:c r="G272" s="24" t="str"/>
      <x:c r="H272" s="24" t="str"/>
    </x:row>
    <x:row r="273">
      <x:c r="A273" s="24" t="str">
        <x:v>湖州</x:v>
      </x:c>
      <x:c r="B273" s="24" t="str"/>
      <x:c r="C273" s="24" t="str">
        <x:v>PCBA设备管培生 (MJ000914)</x:v>
      </x:c>
      <x:c r="D273" s="24" t="str">
        <x:v>浙江富特科技</x:v>
      </x:c>
      <x:c r="E273" s="24" t="str">
        <x:v>8-12K·14薪</x:v>
      </x:c>
      <x:c r="F273" s="25" t="n">
        <x:v>8</x:v>
      </x:c>
      <x:c r="G273" s="24" t="str"/>
      <x:c r="H273" s="24" t="str"/>
    </x:row>
    <x:row r="274">
      <x:c r="A274" s="24" t="str">
        <x:v>湖州</x:v>
      </x:c>
      <x:c r="B274" s="24" t="str">
        <x:v>吴兴区</x:v>
      </x:c>
      <x:c r="C274" s="24" t="str">
        <x:v>设备工程师</x:v>
      </x:c>
      <x:c r="D274" s="24" t="str">
        <x:v>湖州三行</x:v>
      </x:c>
      <x:c r="E274" s="24" t="str">
        <x:v>6-8K</x:v>
      </x:c>
      <x:c r="F274" s="25" t="n">
        <x:v>6</x:v>
      </x:c>
      <x:c r="G274" s="24" t="str">
        <x:v>是</x:v>
      </x:c>
      <x:c r="H274" s="24" t="str">
        <x:v>是</x:v>
      </x:c>
    </x:row>
    <x:row r="275">
      <x:c r="A275" s="24" t="str">
        <x:v>湖州</x:v>
      </x:c>
      <x:c r="B275" s="24" t="str"/>
      <x:c r="C275" s="24" t="str">
        <x:v>机器人维修工程师</x:v>
      </x:c>
      <x:c r="D275" s="24" t="str">
        <x:v>湖州车云信联科技发展</x:v>
      </x:c>
      <x:c r="E275" s="24" t="str">
        <x:v>12-15K</x:v>
      </x:c>
      <x:c r="F275" s="25" t="n">
        <x:v>12</x:v>
      </x:c>
      <x:c r="G275" s="24" t="str">
        <x:v>是</x:v>
      </x:c>
      <x:c r="H275" s="24" t="str"/>
    </x:row>
    <x:row r="276">
      <x:c r="A276" s="24" t="str">
        <x:v>湖州</x:v>
      </x:c>
      <x:c r="B276" s="24" t="str"/>
      <x:c r="C276" s="24" t="str">
        <x:v>PCBA工艺管培生 (MJ000922)</x:v>
      </x:c>
      <x:c r="D276" s="24" t="str">
        <x:v>浙江富特科技</x:v>
      </x:c>
      <x:c r="E276" s="24" t="str">
        <x:v>8-13K·14薪</x:v>
      </x:c>
      <x:c r="F276" s="25" t="n">
        <x:v>8</x:v>
      </x:c>
      <x:c r="G276" s="24" t="str"/>
      <x:c r="H276" s="24" t="str"/>
    </x:row>
    <x:row r="277">
      <x:c r="A277" s="24" t="str">
        <x:v>盐城</x:v>
      </x:c>
      <x:c r="B277" s="24" t="str"/>
      <x:c r="C277" s="24" t="str">
        <x:v>电气工程师（27届应届生）</x:v>
      </x:c>
      <x:c r="D277" s="24" t="str">
        <x:v>长虹智能</x:v>
      </x:c>
      <x:c r="E277" s="24" t="str">
        <x:v>8-13K</x:v>
      </x:c>
      <x:c r="F277" s="25" t="n">
        <x:v>8</x:v>
      </x:c>
      <x:c r="G277" s="24" t="str"/>
      <x:c r="H277" s="24" t="str"/>
    </x:row>
    <x:row r="278">
      <x:c r="A278" s="24" t="str">
        <x:v>盐城</x:v>
      </x:c>
      <x:c r="B278" s="24" t="str"/>
      <x:c r="C278" s="24" t="str">
        <x:v>电气自动化工程师</x:v>
      </x:c>
      <x:c r="D278" s="24" t="str">
        <x:v>盐城浮士德机器人...</x:v>
      </x:c>
      <x:c r="E278" s="24" t="str">
        <x:v>4-6K</x:v>
      </x:c>
      <x:c r="F278" s="25" t="n">
        <x:v>4</x:v>
      </x:c>
      <x:c r="G278" s="24" t="str"/>
      <x:c r="H278" s="24" t="str"/>
    </x:row>
    <x:row r="279">
      <x:c r="A279" s="24" t="str">
        <x:v>盐城</x:v>
      </x:c>
      <x:c r="B279" s="24" t="str"/>
      <x:c r="C279" s="24" t="str">
        <x:v>电气调试工程师（27届应届生）</x:v>
      </x:c>
      <x:c r="D279" s="24" t="str">
        <x:v>长虹智能</x:v>
      </x:c>
      <x:c r="E279" s="24" t="str">
        <x:v>7-12K</x:v>
      </x:c>
      <x:c r="F279" s="25" t="n">
        <x:v>7</x:v>
      </x:c>
      <x:c r="G279" s="24" t="str"/>
      <x:c r="H279" s="24" t="str"/>
    </x:row>
    <x:row r="280">
      <x:c r="A280" s="24" t="str">
        <x:v>盐城</x:v>
      </x:c>
      <x:c r="B280" s="24" t="str"/>
      <x:c r="C280" s="24" t="str">
        <x:v>【27届校招】电气工程师</x:v>
      </x:c>
      <x:c r="D280" s="24" t="str">
        <x:v>长虹智能</x:v>
      </x:c>
      <x:c r="E280" s="24" t="str">
        <x:v>7-10K</x:v>
      </x:c>
      <x:c r="F280" s="25" t="n">
        <x:v>7</x:v>
      </x:c>
      <x:c r="G280" s="24" t="str"/>
      <x:c r="H280" s="24" t="str"/>
    </x:row>
    <x:row r="281">
      <x:c r="A281" s="24" t="str">
        <x:v>盐城</x:v>
      </x:c>
      <x:c r="B281" s="24" t="str"/>
      <x:c r="C281" s="24" t="str">
        <x:v>机械设备工程师</x:v>
      </x:c>
      <x:c r="D281" s="24" t="str">
        <x:v>燕惠群机械</x:v>
      </x:c>
      <x:c r="E281" s="24" t="str">
        <x:v>4-5K</x:v>
      </x:c>
      <x:c r="F281" s="25" t="n">
        <x:v>4</x:v>
      </x:c>
      <x:c r="G281" s="24" t="str">
        <x:v>是</x:v>
      </x:c>
      <x:c r="H281" s="24" t="str"/>
    </x:row>
    <x:row r="282">
      <x:c r="A282" s="24" t="str">
        <x:v>盐城</x:v>
      </x:c>
      <x:c r="B282" s="24" t="str"/>
      <x:c r="C282" s="24" t="str">
        <x:v>设备工程师</x:v>
      </x:c>
      <x:c r="D282" s="24" t="str">
        <x:v>上海启源芯动力科...</x:v>
      </x:c>
      <x:c r="E282" s="24" t="str">
        <x:v>8-10K·14薪</x:v>
      </x:c>
      <x:c r="F282" s="25" t="n">
        <x:v>8</x:v>
      </x:c>
      <x:c r="G282" s="24" t="str"/>
      <x:c r="H282" s="24" t="str"/>
    </x:row>
    <x:row r="283">
      <x:c r="A283" s="24" t="str">
        <x:v>盐城</x:v>
      </x:c>
      <x:c r="B283" s="24" t="str"/>
      <x:c r="C283" s="24" t="str">
        <x:v>设备工程师(应届生）</x:v>
      </x:c>
      <x:c r="D283" s="24" t="str">
        <x:v>东山精密制造</x:v>
      </x:c>
      <x:c r="E283" s="24" t="str">
        <x:v>7-9K·13薪</x:v>
      </x:c>
      <x:c r="F283" s="25" t="n">
        <x:v>7</x:v>
      </x:c>
      <x:c r="G283" s="24" t="str">
        <x:v>是</x:v>
      </x:c>
      <x:c r="H283" s="24" t="str">
        <x:v>是</x:v>
      </x:c>
    </x:row>
    <x:row r="284">
      <x:c r="A284" s="24" t="str">
        <x:v>绍兴</x:v>
      </x:c>
      <x:c r="B284" s="24" t="str"/>
      <x:c r="C284" s="24" t="str">
        <x:v>光伏运维工程师</x:v>
      </x:c>
      <x:c r="D284" s="24" t="str">
        <x:v>浙江龙能电力科技</x:v>
      </x:c>
      <x:c r="E284" s="24" t="str">
        <x:v>5-6K·13薪</x:v>
      </x:c>
      <x:c r="F284" s="25" t="n">
        <x:v>5</x:v>
      </x:c>
      <x:c r="G284" s="24" t="str"/>
      <x:c r="H284" s="24" t="str"/>
    </x:row>
    <x:row r="285">
      <x:c r="A285" s="24" t="str">
        <x:v>绍兴</x:v>
      </x:c>
      <x:c r="B285" s="24" t="str"/>
      <x:c r="C285" s="24" t="str">
        <x:v>光伏运维工程师</x:v>
      </x:c>
      <x:c r="D285" s="24" t="str">
        <x:v>浙江龙能电力科技</x:v>
      </x:c>
      <x:c r="E285" s="24" t="str">
        <x:v>5-6K·13薪</x:v>
      </x:c>
      <x:c r="F285" s="25" t="n">
        <x:v>5</x:v>
      </x:c>
      <x:c r="G285" s="24" t="str"/>
      <x:c r="H285" s="24" t="str"/>
    </x:row>
    <x:row r="286">
      <x:c r="A286" s="24" t="str">
        <x:v>绍兴</x:v>
      </x:c>
      <x:c r="B286" s="24" t="str">
        <x:v>越城区</x:v>
      </x:c>
      <x:c r="C286" s="24" t="str">
        <x:v>工程管理管培生（光伏）</x:v>
      </x:c>
      <x:c r="D286" s="24" t="str">
        <x:v>风行电力</x:v>
      </x:c>
      <x:c r="E286" s="24" t="str">
        <x:v>3-5K</x:v>
      </x:c>
      <x:c r="F286" s="25" t="n">
        <x:v>3</x:v>
      </x:c>
      <x:c r="G286" s="24" t="str"/>
      <x:c r="H286" s="24" t="str"/>
    </x:row>
    <x:row r="287">
      <x:c r="A287" s="24" t="str">
        <x:v>绍兴</x:v>
      </x:c>
      <x:c r="B287" s="24" t="str">
        <x:v>越城区</x:v>
      </x:c>
      <x:c r="C287" s="24" t="str">
        <x:v>厂务工程师（2027届）(J10877)</x:v>
      </x:c>
      <x:c r="D287" s="24" t="str">
        <x:v>UNT</x:v>
      </x:c>
      <x:c r="E287" s="24" t="str">
        <x:v>7-9K·16薪</x:v>
      </x:c>
      <x:c r="F287" s="25" t="n">
        <x:v>7</x:v>
      </x:c>
      <x:c r="G287" s="24" t="str"/>
      <x:c r="H287" s="24" t="str"/>
    </x:row>
    <x:row r="288">
      <x:c r="A288" s="24" t="str">
        <x:v>绍兴</x:v>
      </x:c>
      <x:c r="B288" s="24" t="str"/>
      <x:c r="C288" s="24" t="str">
        <x:v>厂务技术员</x:v>
      </x:c>
      <x:c r="D288" s="24" t="str">
        <x:v>诸暨芯云</x:v>
      </x:c>
      <x:c r="E288" s="24" t="str">
        <x:v>6-8K</x:v>
      </x:c>
      <x:c r="F288" s="25" t="n">
        <x:v>6</x:v>
      </x:c>
      <x:c r="G288" s="24" t="str"/>
      <x:c r="H288" s="24" t="str"/>
    </x:row>
    <x:row r="289">
      <x:c r="A289" s="24" t="str">
        <x:v>绍兴</x:v>
      </x:c>
      <x:c r="B289" s="24" t="str">
        <x:v>嵊州市</x:v>
      </x:c>
      <x:c r="C289" s="24" t="str">
        <x:v>高级设备工程师</x:v>
      </x:c>
      <x:c r="D289" s="24" t="str">
        <x:v>比亚迪股份有限公司</x:v>
      </x:c>
      <x:c r="E289" s="24" t="str">
        <x:v>12-18K</x:v>
      </x:c>
      <x:c r="F289" s="25" t="n">
        <x:v>12</x:v>
      </x:c>
      <x:c r="G289" s="24" t="str">
        <x:v>是</x:v>
      </x:c>
      <x:c r="H289" s="24" t="str">
        <x:v>是</x:v>
      </x:c>
    </x:row>
    <x:row r="290">
      <x:c r="A290" s="24" t="str">
        <x:v>绍兴</x:v>
      </x:c>
      <x:c r="B290" s="24" t="str">
        <x:v>越城区</x:v>
      </x:c>
      <x:c r="C290" s="24" t="str">
        <x:v>半导体设备工程师</x:v>
      </x:c>
      <x:c r="D290" s="24" t="str">
        <x:v>越润集成电路</x:v>
      </x:c>
      <x:c r="E290" s="24" t="str">
        <x:v>6-11K·14薪</x:v>
      </x:c>
      <x:c r="F290" s="25" t="n">
        <x:v>6</x:v>
      </x:c>
      <x:c r="G290" s="24" t="str"/>
      <x:c r="H290" s="24" t="str"/>
    </x:row>
    <x:row r="291">
      <x:c r="A291" s="24" t="str">
        <x:v>绍兴</x:v>
      </x:c>
      <x:c r="B291" s="24" t="str"/>
      <x:c r="C291" s="24" t="str">
        <x:v>2026届-本科-设备工程师-绍兴</x:v>
      </x:c>
      <x:c r="D291" s="24" t="str">
        <x:v>康龙化成</x:v>
      </x:c>
      <x:c r="E291" s="24" t="str">
        <x:v>6-8K</x:v>
      </x:c>
      <x:c r="F291" s="25" t="n">
        <x:v>6</x:v>
      </x:c>
      <x:c r="G291" s="24" t="str">
        <x:v>是</x:v>
      </x:c>
      <x:c r="H291" s="24" t="str">
        <x:v>是</x:v>
      </x:c>
    </x:row>
    <x:row r="292">
      <x:c r="A292" s="24" t="str">
        <x:v>绍兴</x:v>
      </x:c>
      <x:c r="B292" s="24" t="str">
        <x:v>新昌县</x:v>
      </x:c>
      <x:c r="C292" s="24" t="str">
        <x:v>电气工程师(J11879)</x:v>
      </x:c>
      <x:c r="D292" s="24" t="str">
        <x:v>新和成</x:v>
      </x:c>
      <x:c r="E292" s="24" t="str">
        <x:v>8-11K</x:v>
      </x:c>
      <x:c r="F292" s="25" t="n">
        <x:v>8</x:v>
      </x:c>
      <x:c r="G292" s="24" t="str"/>
      <x:c r="H292" s="24" t="str"/>
    </x:row>
    <x:row r="293">
      <x:c r="A293" s="24" t="str">
        <x:v>绍兴</x:v>
      </x:c>
      <x:c r="B293" s="24" t="str">
        <x:v>柯桥区</x:v>
      </x:c>
      <x:c r="C293" s="24" t="str">
        <x:v>机械/电气设计工程师（27届）</x:v>
      </x:c>
      <x:c r="D293" s="24" t="str">
        <x:v>越剑智能装备</x:v>
      </x:c>
      <x:c r="E293" s="24" t="str">
        <x:v>11-21K</x:v>
      </x:c>
      <x:c r="F293" s="25" t="n">
        <x:v>11</x:v>
      </x:c>
      <x:c r="G293" s="24" t="str"/>
      <x:c r="H293" s="24" t="str"/>
    </x:row>
    <x:row r="294">
      <x:c r="A294" s="24" t="str">
        <x:v>绍兴</x:v>
      </x:c>
      <x:c r="B294" s="24" t="str">
        <x:v>越城区</x:v>
      </x:c>
      <x:c r="C294" s="24" t="str">
        <x:v>设备工程师（2027届）(J10869)</x:v>
      </x:c>
      <x:c r="D294" s="24" t="str">
        <x:v>UNT</x:v>
      </x:c>
      <x:c r="E294" s="24" t="str">
        <x:v>7-10K·16薪</x:v>
      </x:c>
      <x:c r="F294" s="25" t="n">
        <x:v>7</x:v>
      </x:c>
      <x:c r="G294" s="24" t="str">
        <x:v>是</x:v>
      </x:c>
      <x:c r="H294" s="24" t="str">
        <x:v>是</x:v>
      </x:c>
    </x:row>
    <x:row r="295">
      <x:c r="A295" s="24" t="str">
        <x:v>绍兴</x:v>
      </x:c>
      <x:c r="B295" s="24" t="str"/>
      <x:c r="C295" s="24" t="str">
        <x:v>助理电气工程师（双休）</x:v>
      </x:c>
      <x:c r="D295" s="24" t="str">
        <x:v>奥瑞金上虞分</x:v>
      </x:c>
      <x:c r="E295" s="24" t="str">
        <x:v>5-8K·13薪</x:v>
      </x:c>
      <x:c r="F295" s="25" t="n">
        <x:v>5</x:v>
      </x:c>
      <x:c r="G295" s="24" t="str"/>
      <x:c r="H295" s="24" t="str"/>
    </x:row>
    <x:row r="296">
      <x:c r="A296" s="24" t="str">
        <x:v>绍兴</x:v>
      </x:c>
      <x:c r="B296" s="24" t="str">
        <x:v>柯桥区</x:v>
      </x:c>
      <x:c r="C296" s="24" t="str">
        <x:v>配电房运维检修助理</x:v>
      </x:c>
      <x:c r="D296" s="24" t="str">
        <x:v>易阳新能源科技</x:v>
      </x:c>
      <x:c r="E296" s="24" t="str">
        <x:v>5-7K·14薪</x:v>
      </x:c>
      <x:c r="F296" s="25" t="n">
        <x:v>5</x:v>
      </x:c>
      <x:c r="G296" s="24" t="str"/>
      <x:c r="H296" s="24" t="str"/>
    </x:row>
    <x:row r="297">
      <x:c r="A297" s="24" t="str">
        <x:v>绍兴</x:v>
      </x:c>
      <x:c r="B297" s="24" t="str"/>
      <x:c r="C297" s="24" t="str">
        <x:v>plc编程电气工程师</x:v>
      </x:c>
      <x:c r="D297" s="24" t="str">
        <x:v>聚力真空</x:v>
      </x:c>
      <x:c r="E297" s="24" t="str">
        <x:v>5-6K</x:v>
      </x:c>
      <x:c r="F297" s="25" t="n">
        <x:v>5</x:v>
      </x:c>
      <x:c r="G297" s="24" t="str"/>
      <x:c r="H297" s="24" t="str"/>
    </x:row>
    <x:row r="298">
      <x:c r="A298" s="24" t="str">
        <x:v>绍兴</x:v>
      </x:c>
      <x:c r="B298" s="24" t="str">
        <x:v>柯桥区</x:v>
      </x:c>
      <x:c r="C298" s="24" t="str">
        <x:v>机电工程师</x:v>
      </x:c>
      <x:c r="D298" s="24" t="str">
        <x:v>精工绿筑</x:v>
      </x:c>
      <x:c r="E298" s="24" t="str">
        <x:v>7-12K</x:v>
      </x:c>
      <x:c r="F298" s="25" t="n">
        <x:v>7</x:v>
      </x:c>
      <x:c r="G298" s="24" t="str"/>
      <x:c r="H298" s="24" t="str"/>
    </x:row>
    <x:row r="299">
      <x:c r="A299" s="24" t="str">
        <x:v>绍兴</x:v>
      </x:c>
      <x:c r="B299" s="24" t="str"/>
      <x:c r="C299" s="24" t="str">
        <x:v>硬件工程师</x:v>
      </x:c>
      <x:c r="D299" s="24" t="str">
        <x:v>绍兴海微感知技术</x:v>
      </x:c>
      <x:c r="E299" s="24" t="str">
        <x:v>6-10K</x:v>
      </x:c>
      <x:c r="F299" s="25" t="n">
        <x:v>6</x:v>
      </x:c>
      <x:c r="G299" s="24" t="str"/>
      <x:c r="H299" s="24" t="str"/>
    </x:row>
    <x:row r="300">
      <x:c r="A300" s="24" t="str">
        <x:v>绍兴</x:v>
      </x:c>
      <x:c r="B300" s="24" t="str">
        <x:v>越城区</x:v>
      </x:c>
      <x:c r="C300" s="24" t="str">
        <x:v>生产计划控制工程师（2027届）(J10905)</x:v>
      </x:c>
      <x:c r="D300" s="24" t="str">
        <x:v>UNT</x:v>
      </x:c>
      <x:c r="E300" s="24" t="str">
        <x:v>10-14K·16薪</x:v>
      </x:c>
      <x:c r="F300" s="25" t="n">
        <x:v>10</x:v>
      </x:c>
      <x:c r="G300" s="24" t="str">
        <x:v>是</x:v>
      </x:c>
      <x:c r="H300" s="24" t="str">
        <x:v>是</x:v>
      </x:c>
    </x:row>
    <x:row r="301">
      <x:c r="A301" s="24" t="str">
        <x:v>绍兴</x:v>
      </x:c>
      <x:c r="B301" s="24" t="str">
        <x:v>诸暨市</x:v>
      </x:c>
      <x:c r="C301" s="24" t="str">
        <x:v>大学生储备干部-自动化设备技术员</x:v>
      </x:c>
      <x:c r="D301" s="24" t="str">
        <x:v>大豪科技</x:v>
      </x:c>
      <x:c r="E301" s="24" t="str">
        <x:v>7-9K</x:v>
      </x:c>
      <x:c r="F301" s="25" t="n">
        <x:v>7</x:v>
      </x:c>
      <x:c r="G301" s="24" t="str"/>
      <x:c r="H301" s="24" t="str"/>
    </x:row>
    <x:row r="302">
      <x:c r="A302" s="24" t="str">
        <x:v>绍兴</x:v>
      </x:c>
      <x:c r="B302" s="24" t="str"/>
      <x:c r="C302" s="24" t="str">
        <x:v>绍兴京新-自动化管理-本科岗</x:v>
      </x:c>
      <x:c r="D302" s="24" t="str">
        <x:v>绍兴京新</x:v>
      </x:c>
      <x:c r="E302" s="24" t="str">
        <x:v>7-10K</x:v>
      </x:c>
      <x:c r="F302" s="25" t="n">
        <x:v>7</x:v>
      </x:c>
      <x:c r="G302" s="24" t="str"/>
      <x:c r="H302" s="24" t="str"/>
    </x:row>
    <x:row r="303">
      <x:c r="A303" s="24" t="str">
        <x:v>绍兴</x:v>
      </x:c>
      <x:c r="B303" s="24" t="str">
        <x:v>越城区</x:v>
      </x:c>
      <x:c r="C303" s="24" t="str">
        <x:v>封装设备工程师（2027届）(J10939)</x:v>
      </x:c>
      <x:c r="D303" s="24" t="str">
        <x:v>UNT</x:v>
      </x:c>
      <x:c r="E303" s="24" t="str">
        <x:v>7-9K·16薪</x:v>
      </x:c>
      <x:c r="F303" s="25" t="n">
        <x:v>7</x:v>
      </x:c>
      <x:c r="G303" s="24" t="str">
        <x:v>是</x:v>
      </x:c>
      <x:c r="H303" s="24" t="str">
        <x:v>是</x:v>
      </x:c>
    </x:row>
    <x:row r="304">
      <x:c r="A304" s="24" t="str">
        <x:v>绍兴</x:v>
      </x:c>
      <x:c r="B304" s="24" t="str"/>
      <x:c r="C304" s="24" t="str">
        <x:v>自动化设备工程师</x:v>
      </x:c>
      <x:c r="D304" s="24" t="str">
        <x:v>英飞创涂装</x:v>
      </x:c>
      <x:c r="E304" s="24" t="str">
        <x:v>12-16K</x:v>
      </x:c>
      <x:c r="F304" s="25" t="n">
        <x:v>12</x:v>
      </x:c>
      <x:c r="G304" s="24" t="str"/>
      <x:c r="H304" s="24" t="str"/>
    </x:row>
    <x:row r="305">
      <x:c r="A305" s="24" t="str">
        <x:v>绍兴</x:v>
      </x:c>
      <x:c r="B305" s="24" t="str"/>
      <x:c r="C305" s="24" t="str">
        <x:v>自动化设备技术员（27届）</x:v>
      </x:c>
      <x:c r="D305" s="24" t="str">
        <x:v>京新药业</x:v>
      </x:c>
      <x:c r="E305" s="24" t="str">
        <x:v>7-12K·13薪</x:v>
      </x:c>
      <x:c r="F305" s="25" t="n">
        <x:v>7</x:v>
      </x:c>
      <x:c r="G305" s="24" t="str">
        <x:v>是</x:v>
      </x:c>
      <x:c r="H305" s="24" t="str">
        <x:v>是</x:v>
      </x:c>
    </x:row>
    <x:row r="306">
      <x:c r="A306" s="24" t="str">
        <x:v>绍兴</x:v>
      </x:c>
      <x:c r="B306" s="24" t="str">
        <x:v>越城区</x:v>
      </x:c>
      <x:c r="C306" s="24" t="str">
        <x:v>设备工程师-2024应届生</x:v>
      </x:c>
      <x:c r="D306" s="24" t="str">
        <x:v>UNT</x:v>
      </x:c>
      <x:c r="E306" s="24" t="str">
        <x:v>7-8K·16薪</x:v>
      </x:c>
      <x:c r="F306" s="25" t="n">
        <x:v>7</x:v>
      </x:c>
      <x:c r="G306" s="24" t="str"/>
      <x:c r="H306" s="24" t="str"/>
    </x:row>
    <x:row r="307">
      <x:c r="A307" s="24" t="str">
        <x:v>绍兴</x:v>
      </x:c>
      <x:c r="B307" s="24" t="str">
        <x:v>越城区</x:v>
      </x:c>
      <x:c r="C307" s="24" t="str">
        <x:v>设备工程师储备</x:v>
      </x:c>
      <x:c r="D307" s="24" t="str">
        <x:v>福清卫生</x:v>
      </x:c>
      <x:c r="E307" s="24" t="str">
        <x:v>5-6K·14薪</x:v>
      </x:c>
      <x:c r="F307" s="25" t="n">
        <x:v>5</x:v>
      </x:c>
      <x:c r="G307" s="24" t="str">
        <x:v>是</x:v>
      </x:c>
      <x:c r="H307" s="24" t="str">
        <x:v>是</x:v>
      </x:c>
    </x:row>
    <x:row r="308">
      <x:c r="A308" s="24" t="str">
        <x:v>舟山</x:v>
      </x:c>
      <x:c r="B308" s="24" t="str"/>
      <x:c r="C308" s="24" t="str">
        <x:v>电气工程师</x:v>
      </x:c>
      <x:c r="D308" s="24" t="str">
        <x:v>宁波辰东</x:v>
      </x:c>
      <x:c r="E308" s="24" t="str">
        <x:v>7-8K</x:v>
      </x:c>
      <x:c r="F308" s="25" t="n">
        <x:v>7</x:v>
      </x:c>
      <x:c r="G308" s="24" t="str"/>
      <x:c r="H308" s="24" t="str"/>
    </x:row>
    <x:row r="309">
      <x:c r="A309" s="24" t="str">
        <x:v>舟山</x:v>
      </x:c>
      <x:c r="B309" s="24" t="str">
        <x:v>定海区</x:v>
      </x:c>
      <x:c r="C309" s="24" t="str">
        <x:v>机电工程师</x:v>
      </x:c>
      <x:c r="D309" s="24" t="str">
        <x:v>舟山途瑞</x:v>
      </x:c>
      <x:c r="E309" s="24" t="str">
        <x:v>5-6K</x:v>
      </x:c>
      <x:c r="F309" s="25" t="n">
        <x:v>5</x:v>
      </x:c>
      <x:c r="G309" s="24" t="str"/>
      <x:c r="H309" s="24" t="str"/>
    </x:row>
    <x:row r="310">
      <x:c r="A310" s="24" t="str">
        <x:v>舟山</x:v>
      </x:c>
      <x:c r="B310" s="24" t="str"/>
      <x:c r="C310" s="24" t="str">
        <x:v>机电工程师</x:v>
      </x:c>
      <x:c r="D310" s="24" t="str">
        <x:v>上海鸥与鑫船务</x:v>
      </x:c>
      <x:c r="E310" s="24" t="str">
        <x:v>5-10K</x:v>
      </x:c>
      <x:c r="F310" s="25" t="n">
        <x:v>5</x:v>
      </x:c>
      <x:c r="G310" s="24" t="str"/>
      <x:c r="H310" s="24" t="str"/>
    </x:row>
    <x:row r="311">
      <x:c r="A311" s="24" t="str">
        <x:v>舟山</x:v>
      </x:c>
      <x:c r="B311" s="24" t="str">
        <x:v>定海区</x:v>
      </x:c>
      <x:c r="C311" s="24" t="str">
        <x:v>船舶电气工程师</x:v>
      </x:c>
      <x:c r="D311" s="24" t="str">
        <x:v>舟山泰海众鑫船舶科技</x:v>
      </x:c>
      <x:c r="E311" s="24" t="str">
        <x:v>3-8K</x:v>
      </x:c>
      <x:c r="F311" s="25" t="n">
        <x:v>3</x:v>
      </x:c>
      <x:c r="G311" s="24" t="str"/>
      <x:c r="H311" s="24" t="str"/>
    </x:row>
    <x:row r="312">
      <x:c r="A312" s="24" t="str">
        <x:v>舟山</x:v>
      </x:c>
      <x:c r="B312" s="24" t="str"/>
      <x:c r="C312" s="24" t="str">
        <x:v>电气工程师（应届毕业生）</x:v>
      </x:c>
      <x:c r="D312" s="24" t="str">
        <x:v>荣德机械</x:v>
      </x:c>
      <x:c r="E312" s="24" t="str">
        <x:v>4-6K·13薪</x:v>
      </x:c>
      <x:c r="F312" s="25" t="n">
        <x:v>4</x:v>
      </x:c>
      <x:c r="G312" s="24" t="str"/>
      <x:c r="H312" s="24" t="str"/>
    </x:row>
    <x:row r="313">
      <x:c r="A313" s="24" t="str">
        <x:v>舟山</x:v>
      </x:c>
      <x:c r="B313" s="24" t="str"/>
      <x:c r="C313" s="24" t="str">
        <x:v>控制文员</x:v>
      </x:c>
      <x:c r="D313" s="24" t="str">
        <x:v>甬舟集装箱码头</x:v>
      </x:c>
      <x:c r="E313" s="24" t="str">
        <x:v>8-9K</x:v>
      </x:c>
      <x:c r="F313" s="25" t="n">
        <x:v>8</x:v>
      </x:c>
      <x:c r="G313" s="24" t="str"/>
      <x:c r="H313" s="24" t="str"/>
    </x:row>
    <x:row r="314">
      <x:c r="A314" s="24" t="str">
        <x:v>舟山</x:v>
      </x:c>
      <x:c r="B314" s="24" t="str"/>
      <x:c r="C314" s="24" t="str">
        <x:v>电气技术员</x:v>
      </x:c>
      <x:c r="D314" s="24" t="str">
        <x:v>甬舟集装箱码头</x:v>
      </x:c>
      <x:c r="E314" s="24" t="str">
        <x:v>8-9K</x:v>
      </x:c>
      <x:c r="F314" s="25" t="n">
        <x:v>8</x:v>
      </x:c>
      <x:c r="G314" s="24" t="str"/>
      <x:c r="H314" s="24" t="str"/>
    </x:row>
    <x:row r="315">
      <x:c r="A315" s="24" t="str">
        <x:v>舟山</x:v>
      </x:c>
      <x:c r="B315" s="24" t="str"/>
      <x:c r="C315" s="24" t="str">
        <x:v>机电工程师</x:v>
      </x:c>
      <x:c r="D315" s="24" t="str">
        <x:v>上海鸥与鑫船务</x:v>
      </x:c>
      <x:c r="E315" s="24" t="str">
        <x:v>5-6K</x:v>
      </x:c>
      <x:c r="F315" s="25" t="n">
        <x:v>5</x:v>
      </x:c>
      <x:c r="G315" s="24" t="str"/>
      <x:c r="H315" s="24" t="str"/>
    </x:row>
    <x:row r="316">
      <x:c r="A316" s="24" t="str">
        <x:v>苏州</x:v>
      </x:c>
      <x:c r="B316" s="24" t="str"/>
      <x:c r="C316" s="24" t="str">
        <x:v>储能交付技术岗</x:v>
      </x:c>
      <x:c r="D316" s="24" t="str">
        <x:v>隆基精控</x:v>
      </x:c>
      <x:c r="E316" s="24" t="str">
        <x:v>8-13K·13薪</x:v>
      </x:c>
      <x:c r="F316" s="25" t="n">
        <x:v>8</x:v>
      </x:c>
      <x:c r="G316" s="24" t="str"/>
      <x:c r="H316" s="24" t="str"/>
    </x:row>
    <x:row r="317">
      <x:c r="A317" s="24" t="str">
        <x:v>苏州</x:v>
      </x:c>
      <x:c r="B317" s="24" t="str">
        <x:v>虎丘区</x:v>
      </x:c>
      <x:c r="C317" s="24" t="str">
        <x:v>光伏储能结构设计助理工程师</x:v>
      </x:c>
      <x:c r="D317" s="24" t="str">
        <x:v>河北华勘电力工程设计</x:v>
      </x:c>
      <x:c r="E317" s="24" t="str">
        <x:v>3-4K</x:v>
      </x:c>
      <x:c r="F317" s="25" t="n">
        <x:v>3</x:v>
      </x:c>
      <x:c r="G317" s="24" t="str"/>
      <x:c r="H317" s="24" t="str"/>
    </x:row>
    <x:row r="318">
      <x:c r="A318" s="24" t="str">
        <x:v>苏州</x:v>
      </x:c>
      <x:c r="B318" s="24" t="str">
        <x:v>苏州工业园区</x:v>
      </x:c>
      <x:c r="C318" s="24" t="str">
        <x:v>安规认证工程师（能源与工业自动化）</x:v>
      </x:c>
      <x:c r="D318" s="24" t="str">
        <x:v>UL中国</x:v>
      </x:c>
      <x:c r="E318" s="24" t="str">
        <x:v>8-12K·13薪</x:v>
      </x:c>
      <x:c r="F318" s="25" t="n">
        <x:v>8</x:v>
      </x:c>
      <x:c r="G318" s="24" t="str"/>
      <x:c r="H318" s="24" t="str"/>
    </x:row>
    <x:row r="319">
      <x:c r="A319" s="24" t="str">
        <x:v>苏州</x:v>
      </x:c>
      <x:c r="B319" s="24" t="str"/>
      <x:c r="C319" s="24" t="str">
        <x:v>硬件工程师（2027届)—苏州 (MJ000646)</x:v>
      </x:c>
      <x:c r="D319" s="24" t="str">
        <x:v>艾罗能源</x:v>
      </x:c>
      <x:c r="E319" s="24" t="str">
        <x:v>15-30K·15薪</x:v>
      </x:c>
      <x:c r="F319" s="25" t="n">
        <x:v>15</x:v>
      </x:c>
      <x:c r="G319" s="24" t="str"/>
      <x:c r="H319" s="24" t="str"/>
    </x:row>
    <x:row r="320">
      <x:c r="A320" s="24" t="str">
        <x:v>苏州</x:v>
      </x:c>
      <x:c r="B320" s="24" t="str"/>
      <x:c r="C320" s="24" t="str">
        <x:v>储能产品岗</x:v>
      </x:c>
      <x:c r="D320" s="24" t="str">
        <x:v>隆基精控</x:v>
      </x:c>
      <x:c r="E320" s="24" t="str">
        <x:v>8-13K·13薪</x:v>
      </x:c>
      <x:c r="F320" s="25" t="n">
        <x:v>8</x:v>
      </x:c>
      <x:c r="G320" s="24" t="str"/>
      <x:c r="H320" s="24" t="str"/>
    </x:row>
    <x:row r="321">
      <x:c r="A321" s="24" t="str">
        <x:v>苏州</x:v>
      </x:c>
      <x:c r="B321" s="24" t="str"/>
      <x:c r="C321" s="24" t="str">
        <x:v>储能交付PMO</x:v>
      </x:c>
      <x:c r="D321" s="24" t="str">
        <x:v>隆基精控</x:v>
      </x:c>
      <x:c r="E321" s="24" t="str">
        <x:v>8-13K·13薪</x:v>
      </x:c>
      <x:c r="F321" s="25" t="n">
        <x:v>8</x:v>
      </x:c>
      <x:c r="G321" s="24" t="str"/>
      <x:c r="H321" s="24" t="str"/>
    </x:row>
    <x:row r="322">
      <x:c r="A322" s="24" t="str">
        <x:v>苏州</x:v>
      </x:c>
      <x:c r="B322" s="24" t="str">
        <x:v>张家港市</x:v>
      </x:c>
      <x:c r="C322" s="24" t="str">
        <x:v>电力工程师</x:v>
      </x:c>
      <x:c r="D322" s="24" t="str">
        <x:v>张家港电小二技术工程</x:v>
      </x:c>
      <x:c r="E322" s="24" t="str">
        <x:v>3-5K</x:v>
      </x:c>
      <x:c r="F322" s="25" t="n">
        <x:v>3</x:v>
      </x:c>
      <x:c r="G322" s="24" t="str"/>
      <x:c r="H322" s="24" t="str"/>
    </x:row>
    <x:row r="323">
      <x:c r="A323" s="24" t="str">
        <x:v>苏州</x:v>
      </x:c>
      <x:c r="B323" s="24" t="str"/>
      <x:c r="C323" s="24" t="str">
        <x:v>PCB工程师</x:v>
      </x:c>
      <x:c r="D323" s="24" t="str">
        <x:v>cvte</x:v>
      </x:c>
      <x:c r="E323" s="24" t="str">
        <x:v>9-11K·13薪</x:v>
      </x:c>
      <x:c r="F323" s="25" t="n">
        <x:v>9</x:v>
      </x:c>
      <x:c r="G323" s="24" t="str"/>
      <x:c r="H323" s="24" t="str"/>
    </x:row>
    <x:row r="324">
      <x:c r="A324" s="24" t="str">
        <x:v>苏州</x:v>
      </x:c>
      <x:c r="B324" s="24" t="str">
        <x:v>虎丘区</x:v>
      </x:c>
      <x:c r="C324" s="24" t="str">
        <x:v>商用电脑硬件研发工程师</x:v>
      </x:c>
      <x:c r="D324" s="24" t="str">
        <x:v>华硕科技（苏州）...</x:v>
      </x:c>
      <x:c r="E324" s="24" t="str">
        <x:v>8-12K</x:v>
      </x:c>
      <x:c r="F324" s="25" t="n">
        <x:v>8</x:v>
      </x:c>
      <x:c r="G324" s="24" t="str"/>
      <x:c r="H324" s="24" t="str"/>
    </x:row>
    <x:row r="325">
      <x:c r="A325" s="24" t="str">
        <x:v>苏州</x:v>
      </x:c>
      <x:c r="B325" s="24" t="str">
        <x:v>昆山市</x:v>
      </x:c>
      <x:c r="C325" s="24" t="str">
        <x:v>工艺设备工程师（应届）</x:v>
      </x:c>
      <x:c r="D325" s="24" t="str">
        <x:v>维信诺科技股份有...</x:v>
      </x:c>
      <x:c r="E325" s="24" t="str">
        <x:v>8-10K·14薪</x:v>
      </x:c>
      <x:c r="F325" s="25" t="n">
        <x:v>8</x:v>
      </x:c>
      <x:c r="G325" s="24" t="str">
        <x:v>是</x:v>
      </x:c>
      <x:c r="H325" s="24" t="str">
        <x:v>是</x:v>
      </x:c>
    </x:row>
    <x:row r="326">
      <x:c r="A326" s="24" t="str">
        <x:v>苏州</x:v>
      </x:c>
      <x:c r="B326" s="24" t="str">
        <x:v>昆山市</x:v>
      </x:c>
      <x:c r="C326" s="24" t="str">
        <x:v>设备工程师</x:v>
      </x:c>
      <x:c r="D326" s="24" t="str">
        <x:v>龙腾光电</x:v>
      </x:c>
      <x:c r="E326" s="24" t="str">
        <x:v>7-9K</x:v>
      </x:c>
      <x:c r="F326" s="25" t="n">
        <x:v>7</x:v>
      </x:c>
      <x:c r="G326" s="24" t="str">
        <x:v>是</x:v>
      </x:c>
      <x:c r="H326" s="24" t="str">
        <x:v>是</x:v>
      </x:c>
    </x:row>
    <x:row r="327">
      <x:c r="A327" s="24" t="str">
        <x:v>苏州</x:v>
      </x:c>
      <x:c r="B327" s="24" t="str"/>
      <x:c r="C327" s="24" t="str">
        <x:v>自动化工程师（2027 校招）</x:v>
      </x:c>
      <x:c r="D327" s="24" t="str">
        <x:v>友达光电</x:v>
      </x:c>
      <x:c r="E327" s="24" t="str">
        <x:v>6-10K</x:v>
      </x:c>
      <x:c r="F327" s="25" t="n">
        <x:v>6</x:v>
      </x:c>
      <x:c r="G327" s="24" t="str"/>
      <x:c r="H327" s="24" t="str"/>
    </x:row>
    <x:row r="328">
      <x:c r="A328" s="24" t="str">
        <x:v>苏州</x:v>
      </x:c>
      <x:c r="B328" s="24" t="str">
        <x:v>吴中区</x:v>
      </x:c>
      <x:c r="C328" s="24" t="str">
        <x:v>ros机器人测试工程师</x:v>
      </x:c>
      <x:c r="D328" s="24" t="str">
        <x:v>锐心观远</x:v>
      </x:c>
      <x:c r="E328" s="24" t="str">
        <x:v>5-8K</x:v>
      </x:c>
      <x:c r="F328" s="25" t="n">
        <x:v>5</x:v>
      </x:c>
      <x:c r="G328" s="24" t="str"/>
      <x:c r="H328" s="24" t="str"/>
    </x:row>
    <x:row r="329">
      <x:c r="A329" s="24" t="str">
        <x:v>苏州</x:v>
      </x:c>
      <x:c r="B329" s="24" t="str">
        <x:v>昆山市</x:v>
      </x:c>
      <x:c r="C329" s="24" t="str">
        <x:v>机械设备工程师</x:v>
      </x:c>
      <x:c r="D329" s="24" t="str">
        <x:v>昆山厚声</x:v>
      </x:c>
      <x:c r="E329" s="24" t="str">
        <x:v>5-10K·13薪</x:v>
      </x:c>
      <x:c r="F329" s="25" t="n">
        <x:v>5</x:v>
      </x:c>
      <x:c r="G329" s="24" t="str"/>
      <x:c r="H329" s="24" t="str"/>
    </x:row>
    <x:row r="330">
      <x:c r="A330" s="24" t="str">
        <x:v>苏州</x:v>
      </x:c>
      <x:c r="B330" s="24" t="str">
        <x:v>吴中区</x:v>
      </x:c>
      <x:c r="C330" s="24" t="str">
        <x:v>PCB设计助理工程师</x:v>
      </x:c>
      <x:c r="D330" s="24" t="str">
        <x:v>朗骥电子</x:v>
      </x:c>
      <x:c r="E330" s="24" t="str">
        <x:v>6-7K</x:v>
      </x:c>
      <x:c r="F330" s="25" t="n">
        <x:v>6</x:v>
      </x:c>
      <x:c r="G330" s="24" t="str"/>
      <x:c r="H330" s="24" t="str"/>
    </x:row>
    <x:row r="331">
      <x:c r="A331" s="24" t="str">
        <x:v>苏州</x:v>
      </x:c>
      <x:c r="B331" s="24" t="str">
        <x:v>吴中区</x:v>
      </x:c>
      <x:c r="C331" s="24" t="str">
        <x:v>电力交易员</x:v>
      </x:c>
      <x:c r="D331" s="24" t="str">
        <x:v>江苏蔚唐新能源</x:v>
      </x:c>
      <x:c r="E331" s="24" t="str">
        <x:v>6-11K</x:v>
      </x:c>
      <x:c r="F331" s="25" t="n">
        <x:v>6</x:v>
      </x:c>
      <x:c r="G331" s="24" t="str"/>
      <x:c r="H331" s="24" t="str"/>
    </x:row>
    <x:row r="332">
      <x:c r="A332" s="24" t="str">
        <x:v>苏州</x:v>
      </x:c>
      <x:c r="B332" s="24" t="str">
        <x:v>吴中区</x:v>
      </x:c>
      <x:c r="C332" s="24" t="str">
        <x:v>【27校招 - 技服】硬件失效分析工程师</x:v>
      </x:c>
      <x:c r="D332" s="24" t="str">
        <x:v>苏州汇川技术有限公司</x:v>
      </x:c>
      <x:c r="E332" s="24" t="str">
        <x:v>8-13K·14薪</x:v>
      </x:c>
      <x:c r="F332" s="25" t="n">
        <x:v>8</x:v>
      </x:c>
      <x:c r="G332" s="24" t="str"/>
      <x:c r="H332" s="24" t="str"/>
    </x:row>
    <x:row r="333">
      <x:c r="A333" s="24" t="str">
        <x:v>苏州</x:v>
      </x:c>
      <x:c r="B333" s="24" t="str">
        <x:v>虎丘区</x:v>
      </x:c>
      <x:c r="C333" s="24" t="str">
        <x:v>电气工程师</x:v>
      </x:c>
      <x:c r="D333" s="24" t="str">
        <x:v>苏州天准科技</x:v>
      </x:c>
      <x:c r="E333" s="24" t="str">
        <x:v>10-15K</x:v>
      </x:c>
      <x:c r="F333" s="25" t="n">
        <x:v>10</x:v>
      </x:c>
      <x:c r="G333" s="24" t="str"/>
      <x:c r="H333" s="24" t="str"/>
    </x:row>
    <x:row r="334">
      <x:c r="A334" s="24" t="str">
        <x:v>苏州</x:v>
      </x:c>
      <x:c r="B334" s="24" t="str">
        <x:v>昆山市</x:v>
      </x:c>
      <x:c r="C334" s="24" t="str">
        <x:v>电气工程师（应届生）</x:v>
      </x:c>
      <x:c r="D334" s="24" t="str">
        <x:v>上海炬擎科技有限公司</x:v>
      </x:c>
      <x:c r="E334" s="24" t="str">
        <x:v>5-6K·13薪</x:v>
      </x:c>
      <x:c r="F334" s="25" t="n">
        <x:v>5</x:v>
      </x:c>
      <x:c r="G334" s="24" t="str"/>
      <x:c r="H334" s="24" t="str"/>
    </x:row>
    <x:row r="335">
      <x:c r="A335" s="24" t="str">
        <x:v>苏州</x:v>
      </x:c>
      <x:c r="B335" s="24" t="str">
        <x:v>苏州工业园区</x:v>
      </x:c>
      <x:c r="C335" s="24" t="str">
        <x:v>电子工程师</x:v>
      </x:c>
      <x:c r="D335" s="24" t="str">
        <x:v>表力</x:v>
      </x:c>
      <x:c r="E335" s="24" t="str">
        <x:v>6-10K</x:v>
      </x:c>
      <x:c r="F335" s="25" t="n">
        <x:v>6</x:v>
      </x:c>
      <x:c r="G335" s="24" t="str"/>
      <x:c r="H335" s="24" t="str"/>
    </x:row>
    <x:row r="336">
      <x:c r="A336" s="24" t="str">
        <x:v>苏州</x:v>
      </x:c>
      <x:c r="B336" s="24" t="str"/>
      <x:c r="C336" s="24" t="str">
        <x:v>电子工程师</x:v>
      </x:c>
      <x:c r="D336" s="24" t="str">
        <x:v>筑芯微</x:v>
      </x:c>
      <x:c r="E336" s="24" t="str">
        <x:v>7-8K</x:v>
      </x:c>
      <x:c r="F336" s="25" t="n">
        <x:v>7</x:v>
      </x:c>
      <x:c r="G336" s="24" t="str"/>
      <x:c r="H336" s="24" t="str"/>
    </x:row>
    <x:row r="337">
      <x:c r="A337" s="24" t="str">
        <x:v>苏州</x:v>
      </x:c>
      <x:c r="B337" s="24" t="str">
        <x:v>苏州工业园区</x:v>
      </x:c>
      <x:c r="C337" s="24" t="str">
        <x:v>硬件工程师（维修）</x:v>
      </x:c>
      <x:c r="D337" s="24" t="str">
        <x:v>新代科技</x:v>
      </x:c>
      <x:c r="E337" s="24" t="str">
        <x:v>8-10K·14薪</x:v>
      </x:c>
      <x:c r="F337" s="25" t="n">
        <x:v>8</x:v>
      </x:c>
      <x:c r="G337" s="24" t="str"/>
      <x:c r="H337" s="24" t="str"/>
    </x:row>
    <x:row r="338">
      <x:c r="A338" s="24" t="str">
        <x:v>苏州</x:v>
      </x:c>
      <x:c r="B338" s="24" t="str">
        <x:v>相城区</x:v>
      </x:c>
      <x:c r="C338" s="24" t="str">
        <x:v>2025校招-硬件测试工程师</x:v>
      </x:c>
      <x:c r="D338" s="24" t="str">
        <x:v>苏州易德龙</x:v>
      </x:c>
      <x:c r="E338" s="24" t="str">
        <x:v>10-15K</x:v>
      </x:c>
      <x:c r="F338" s="25" t="n">
        <x:v>10</x:v>
      </x:c>
      <x:c r="G338" s="24" t="str"/>
      <x:c r="H338" s="24" t="str"/>
    </x:row>
    <x:row r="339">
      <x:c r="A339" s="24" t="str">
        <x:v>苏州</x:v>
      </x:c>
      <x:c r="B339" s="24" t="str">
        <x:v>吴中区</x:v>
      </x:c>
      <x:c r="C339" s="24" t="str">
        <x:v>硬件工程师（2027届校招）</x:v>
      </x:c>
      <x:c r="D339" s="24" t="str">
        <x:v>纵苇科技集团</x:v>
      </x:c>
      <x:c r="E339" s="24" t="str">
        <x:v>8-13K·14薪</x:v>
      </x:c>
      <x:c r="F339" s="25" t="n">
        <x:v>8</x:v>
      </x:c>
      <x:c r="G339" s="24" t="str"/>
      <x:c r="H339" s="24" t="str"/>
    </x:row>
    <x:row r="340">
      <x:c r="A340" s="24" t="str">
        <x:v>苏州</x:v>
      </x:c>
      <x:c r="B340" s="24" t="str"/>
      <x:c r="C340" s="24" t="str">
        <x:v>电子工程师</x:v>
      </x:c>
      <x:c r="D340" s="24" t="str">
        <x:v>瑞郎特</x:v>
      </x:c>
      <x:c r="E340" s="24" t="str">
        <x:v>8-10K</x:v>
      </x:c>
      <x:c r="F340" s="25" t="n">
        <x:v>8</x:v>
      </x:c>
      <x:c r="G340" s="24" t="str"/>
      <x:c r="H340" s="24" t="str"/>
    </x:row>
    <x:row r="341">
      <x:c r="A341" s="24" t="str">
        <x:v>苏州</x:v>
      </x:c>
      <x:c r="B341" s="24" t="str">
        <x:v>虎丘区</x:v>
      </x:c>
      <x:c r="C341" s="24" t="str">
        <x:v>硬件测试工程师（2027届校园招聘）</x:v>
      </x:c>
      <x:c r="D341" s="24" t="str">
        <x:v>苏州科达</x:v>
      </x:c>
      <x:c r="E341" s="24" t="str">
        <x:v>6-11K</x:v>
      </x:c>
      <x:c r="F341" s="25" t="n">
        <x:v>6</x:v>
      </x:c>
      <x:c r="G341" s="24" t="str"/>
      <x:c r="H341" s="24" t="str"/>
    </x:row>
    <x:row r="342">
      <x:c r="A342" s="24" t="str">
        <x:v>苏州</x:v>
      </x:c>
      <x:c r="B342" s="24" t="str">
        <x:v>吴江区</x:v>
      </x:c>
      <x:c r="C342" s="24" t="str">
        <x:v>电气工程师（总部）(J10008)</x:v>
      </x:c>
      <x:c r="D342" s="24" t="str">
        <x:v>eurocrane</x:v>
      </x:c>
      <x:c r="E342" s="24" t="str">
        <x:v>12-16K</x:v>
      </x:c>
      <x:c r="F342" s="25" t="n">
        <x:v>12</x:v>
      </x:c>
      <x:c r="G342" s="24" t="str"/>
      <x:c r="H342" s="24" t="str"/>
    </x:row>
    <x:row r="343">
      <x:c r="A343" s="24" t="str">
        <x:v>苏州</x:v>
      </x:c>
      <x:c r="B343" s="24" t="str">
        <x:v>吴中区</x:v>
      </x:c>
      <x:c r="C343" s="24" t="str">
        <x:v>电气自动化工程师</x:v>
      </x:c>
      <x:c r="D343" s="24" t="str">
        <x:v>荣晟碁</x:v>
      </x:c>
      <x:c r="E343" s="24" t="str">
        <x:v>6-7K·14薪</x:v>
      </x:c>
      <x:c r="F343" s="25" t="n">
        <x:v>6</x:v>
      </x:c>
      <x:c r="G343" s="24" t="str"/>
      <x:c r="H343" s="24" t="str"/>
    </x:row>
    <x:row r="344">
      <x:c r="A344" s="24" t="str">
        <x:v>苏州</x:v>
      </x:c>
      <x:c r="B344" s="24" t="str">
        <x:v>张家港市</x:v>
      </x:c>
      <x:c r="C344" s="24" t="str">
        <x:v>电气工程师</x:v>
      </x:c>
      <x:c r="D344" s="24" t="str">
        <x:v>港城善瑟科技</x:v>
      </x:c>
      <x:c r="E344" s="24" t="str">
        <x:v>7-8K</x:v>
      </x:c>
      <x:c r="F344" s="25" t="n">
        <x:v>7</x:v>
      </x:c>
      <x:c r="G344" s="24" t="str"/>
      <x:c r="H344" s="24" t="str"/>
    </x:row>
    <x:row r="345">
      <x:c r="A345" s="24" t="str">
        <x:v>苏州</x:v>
      </x:c>
      <x:c r="B345" s="24" t="str">
        <x:v>吴江区</x:v>
      </x:c>
      <x:c r="C345" s="24" t="str">
        <x:v>电气助理工程师</x:v>
      </x:c>
      <x:c r="D345" s="24" t="str">
        <x:v>迈森精工(苏州)科技有限公司</x:v>
      </x:c>
      <x:c r="E345" s="24" t="str">
        <x:v>3-5K</x:v>
      </x:c>
      <x:c r="F345" s="25" t="n">
        <x:v>3</x:v>
      </x:c>
      <x:c r="G345" s="24" t="str"/>
      <x:c r="H345" s="24" t="str"/>
    </x:row>
    <x:row r="346">
      <x:c r="A346" s="24" t="str">
        <x:v>苏州</x:v>
      </x:c>
      <x:c r="B346" s="24" t="str">
        <x:v>吴中区</x:v>
      </x:c>
      <x:c r="C346" s="24" t="str">
        <x:v>电气专业设计师</x:v>
      </x:c>
      <x:c r="D346" s="24" t="str">
        <x:v>东厦</x:v>
      </x:c>
      <x:c r="E346" s="24" t="str">
        <x:v>7-8K</x:v>
      </x:c>
      <x:c r="F346" s="25" t="n">
        <x:v>7</x:v>
      </x:c>
      <x:c r="G346" s="24" t="str"/>
      <x:c r="H346" s="24" t="str"/>
    </x:row>
    <x:row r="347">
      <x:c r="A347" s="24" t="str">
        <x:v>苏州</x:v>
      </x:c>
      <x:c r="B347" s="24" t="str">
        <x:v>苏州工业园区</x:v>
      </x:c>
      <x:c r="C347" s="24" t="str">
        <x:v>设备工程师（2024届）</x:v>
      </x:c>
      <x:c r="D347" s="24" t="str">
        <x:v>苏州通富超威</x:v>
      </x:c>
      <x:c r="E347" s="24" t="str">
        <x:v>6-8K·13薪</x:v>
      </x:c>
      <x:c r="F347" s="25" t="n">
        <x:v>6</x:v>
      </x:c>
      <x:c r="G347" s="24" t="str"/>
      <x:c r="H347" s="24" t="str"/>
    </x:row>
    <x:row r="348">
      <x:c r="A348" s="24" t="str">
        <x:v>苏州</x:v>
      </x:c>
      <x:c r="B348" s="24" t="str">
        <x:v>常熟市</x:v>
      </x:c>
      <x:c r="C348" s="24" t="str">
        <x:v>电气设计工程师</x:v>
      </x:c>
      <x:c r="D348" s="24" t="str">
        <x:v>劲捷环保苏州</x:v>
      </x:c>
      <x:c r="E348" s="24" t="str">
        <x:v>4-8K</x:v>
      </x:c>
      <x:c r="F348" s="25" t="n">
        <x:v>4</x:v>
      </x:c>
      <x:c r="G348" s="24" t="str"/>
      <x:c r="H348" s="24" t="str"/>
    </x:row>
    <x:row r="349">
      <x:c r="A349" s="24" t="str">
        <x:v>苏州</x:v>
      </x:c>
      <x:c r="B349" s="24" t="str">
        <x:v>吴中区</x:v>
      </x:c>
      <x:c r="C349" s="24" t="str">
        <x:v>硬件工程师</x:v>
      </x:c>
      <x:c r="D349" s="24" t="str">
        <x:v>苏州华为</x:v>
      </x:c>
      <x:c r="E349" s="24" t="str">
        <x:v>20-30K</x:v>
      </x:c>
      <x:c r="F349" s="25" t="n">
        <x:v>20</x:v>
      </x:c>
      <x:c r="G349" s="24" t="str"/>
      <x:c r="H349" s="24" t="str"/>
    </x:row>
    <x:row r="350">
      <x:c r="A350" s="24" t="str">
        <x:v>苏州</x:v>
      </x:c>
      <x:c r="B350" s="24" t="str">
        <x:v>吴中区</x:v>
      </x:c>
      <x:c r="C350" s="24" t="str">
        <x:v>硬件工程师助理</x:v>
      </x:c>
      <x:c r="D350" s="24" t="str">
        <x:v>吴江区猫神技术服...</x:v>
      </x:c>
      <x:c r="E350" s="24" t="str">
        <x:v>4-7K</x:v>
      </x:c>
      <x:c r="F350" s="25" t="n">
        <x:v>4</x:v>
      </x:c>
      <x:c r="G350" s="24" t="str"/>
      <x:c r="H350" s="24" t="str"/>
    </x:row>
    <x:row r="351">
      <x:c r="A351" s="24" t="str">
        <x:v>苏州</x:v>
      </x:c>
      <x:c r="B351" s="24" t="str"/>
      <x:c r="C351" s="24" t="str">
        <x:v>【27届】自动驾驶硬件工程师</x:v>
      </x:c>
      <x:c r="D351" s="24" t="str">
        <x:v>苏州智加科技有限...</x:v>
      </x:c>
      <x:c r="E351" s="24" t="str">
        <x:v>20-30K·14薪</x:v>
      </x:c>
      <x:c r="F351" s="25" t="n">
        <x:v>20</x:v>
      </x:c>
      <x:c r="G351" s="24" t="str"/>
      <x:c r="H351" s="24" t="str"/>
    </x:row>
    <x:row r="352">
      <x:c r="A352" s="24" t="str">
        <x:v>苏州</x:v>
      </x:c>
      <x:c r="B352" s="24" t="str">
        <x:v>苏州工业园区</x:v>
      </x:c>
      <x:c r="C352" s="24" t="str">
        <x:v>硬件测试工程师（可实习）</x:v>
      </x:c>
      <x:c r="D352" s="24" t="str">
        <x:v>苏州奇梦者科技</x:v>
      </x:c>
      <x:c r="E352" s="24" t="str">
        <x:v>6-8K</x:v>
      </x:c>
      <x:c r="F352" s="25" t="n">
        <x:v>6</x:v>
      </x:c>
      <x:c r="G352" s="24" t="str"/>
      <x:c r="H352" s="24" t="str"/>
    </x:row>
    <x:row r="353">
      <x:c r="A353" s="24" t="str">
        <x:v>苏州</x:v>
      </x:c>
      <x:c r="B353" s="24" t="str">
        <x:v>吴中区</x:v>
      </x:c>
      <x:c r="C353" s="24" t="str">
        <x:v>硬件项目经理</x:v>
      </x:c>
      <x:c r="D353" s="24" t="str">
        <x:v>MOVA</x:v>
      </x:c>
      <x:c r="E353" s="24" t="str">
        <x:v>10-15K·15薪</x:v>
      </x:c>
      <x:c r="F353" s="25" t="n">
        <x:v>10</x:v>
      </x:c>
      <x:c r="G353" s="24" t="str"/>
      <x:c r="H353" s="24" t="str"/>
    </x:row>
    <x:row r="354">
      <x:c r="A354" s="24" t="str">
        <x:v>苏州</x:v>
      </x:c>
      <x:c r="B354" s="24" t="str">
        <x:v>苏州工业园区</x:v>
      </x:c>
      <x:c r="C354" s="24" t="str">
        <x:v>研发助理工程师（硬件）</x:v>
      </x:c>
      <x:c r="D354" s="24" t="str">
        <x:v>赛卡电子科技</x:v>
      </x:c>
      <x:c r="E354" s="24" t="str">
        <x:v>5-6K·13薪</x:v>
      </x:c>
      <x:c r="F354" s="25" t="n">
        <x:v>5</x:v>
      </x:c>
      <x:c r="G354" s="24" t="str"/>
      <x:c r="H354" s="24" t="str"/>
    </x:row>
    <x:row r="355">
      <x:c r="A355" s="24" t="str">
        <x:v>苏州</x:v>
      </x:c>
      <x:c r="B355" s="24" t="str">
        <x:v>昆山市</x:v>
      </x:c>
      <x:c r="C355" s="24" t="str">
        <x:v>硬件工程师</x:v>
      </x:c>
      <x:c r="D355" s="24" t="str">
        <x:v>苏州范克林</x:v>
      </x:c>
      <x:c r="E355" s="24" t="str">
        <x:v>6-7K·13薪</x:v>
      </x:c>
      <x:c r="F355" s="25" t="n">
        <x:v>6</x:v>
      </x:c>
      <x:c r="G355" s="24" t="str"/>
      <x:c r="H355" s="24" t="str"/>
    </x:row>
    <x:row r="356">
      <x:c r="A356" s="24" t="str">
        <x:v>苏州</x:v>
      </x:c>
      <x:c r="B356" s="24" t="str">
        <x:v>虎丘区</x:v>
      </x:c>
      <x:c r="C356" s="24" t="str">
        <x:v>助理电子工程师</x:v>
      </x:c>
      <x:c r="D356" s="24" t="str">
        <x:v>大江医疗</x:v>
      </x:c>
      <x:c r="E356" s="24" t="str">
        <x:v>6-7K</x:v>
      </x:c>
      <x:c r="F356" s="25" t="n">
        <x:v>6</x:v>
      </x:c>
      <x:c r="G356" s="24" t="str"/>
      <x:c r="H356" s="24" t="str"/>
    </x:row>
    <x:row r="357">
      <x:c r="A357" s="24" t="str">
        <x:v>苏州</x:v>
      </x:c>
      <x:c r="B357" s="24" t="str">
        <x:v>吴中区</x:v>
      </x:c>
      <x:c r="C357" s="24" t="str">
        <x:v>自动化测试</x:v>
      </x:c>
      <x:c r="D357" s="24" t="str">
        <x:v>万昇智能</x:v>
      </x:c>
      <x:c r="E357" s="24" t="str">
        <x:v>8-11K·13薪</x:v>
      </x:c>
      <x:c r="F357" s="25" t="n">
        <x:v>8</x:v>
      </x:c>
      <x:c r="G357" s="24" t="str"/>
      <x:c r="H357" s="24" t="str"/>
    </x:row>
    <x:row r="358">
      <x:c r="A358" s="24" t="str">
        <x:v>苏州</x:v>
      </x:c>
      <x:c r="B358" s="24" t="str">
        <x:v>昆山市</x:v>
      </x:c>
      <x:c r="C358" s="24" t="str">
        <x:v>设备工程师(2027校招)</x:v>
      </x:c>
      <x:c r="D358" s="24" t="str">
        <x:v>友达光电</x:v>
      </x:c>
      <x:c r="E358" s="24" t="str">
        <x:v>7-8K·13薪</x:v>
      </x:c>
      <x:c r="F358" s="25" t="n">
        <x:v>7</x:v>
      </x:c>
      <x:c r="G358" s="24" t="str">
        <x:v>是</x:v>
      </x:c>
      <x:c r="H358" s="24" t="str">
        <x:v>是</x:v>
      </x:c>
    </x:row>
    <x:row r="359">
      <x:c r="A359" s="24" t="str">
        <x:v>苏州</x:v>
      </x:c>
      <x:c r="B359" s="24" t="str"/>
      <x:c r="C359" s="24" t="str">
        <x:v>万科物业（设备工程师管培生）</x:v>
      </x:c>
      <x:c r="D359" s="24" t="str">
        <x:v>万科物业</x:v>
      </x:c>
      <x:c r="E359" s="24" t="str">
        <x:v>5-7K</x:v>
      </x:c>
      <x:c r="F359" s="25" t="n">
        <x:v>5</x:v>
      </x:c>
      <x:c r="G359" s="24" t="str"/>
      <x:c r="H359" s="24" t="str"/>
    </x:row>
    <x:row r="360">
      <x:c r="A360" s="24" t="str">
        <x:v>衢州</x:v>
      </x:c>
      <x:c r="B360" s="24" t="str">
        <x:v>柯城区</x:v>
      </x:c>
      <x:c r="C360" s="24" t="str">
        <x:v>助理工程师（厂务方向  2027届 ）</x:v>
      </x:c>
      <x:c r="D360" s="24" t="str">
        <x:v>康盈</x:v>
      </x:c>
      <x:c r="E360" s="24" t="str">
        <x:v>6-8K·13薪</x:v>
      </x:c>
      <x:c r="F360" s="25" t="n">
        <x:v>6</x:v>
      </x:c>
      <x:c r="G360" s="24" t="str"/>
      <x:c r="H360" s="24" t="str"/>
    </x:row>
    <x:row r="361">
      <x:c r="A361" s="24" t="str">
        <x:v>衢州</x:v>
      </x:c>
      <x:c r="B361" s="24" t="str"/>
      <x:c r="C361" s="24" t="str">
        <x:v>化工设备工程师</x:v>
      </x:c>
      <x:c r="D361" s="24" t="str">
        <x:v>巨化检安公司</x:v>
      </x:c>
      <x:c r="E361" s="24" t="str">
        <x:v>11-13K</x:v>
      </x:c>
      <x:c r="F361" s="25" t="n">
        <x:v>11</x:v>
      </x:c>
      <x:c r="G361" s="24" t="str"/>
      <x:c r="H361" s="24" t="str"/>
    </x:row>
    <x:row r="362">
      <x:c r="A362" s="24" t="str">
        <x:v>衢州</x:v>
      </x:c>
      <x:c r="B362" s="24" t="str"/>
      <x:c r="C362" s="24" t="str">
        <x:v>仪表/设备/工艺工程师</x:v>
      </x:c>
      <x:c r="D362" s="24" t="str">
        <x:v>杭氧深蓝</x:v>
      </x:c>
      <x:c r="E362" s="24" t="str">
        <x:v>6-9K·13薪</x:v>
      </x:c>
      <x:c r="F362" s="25" t="n">
        <x:v>6</x:v>
      </x:c>
      <x:c r="G362" s="24" t="str"/>
      <x:c r="H362" s="24" t="str"/>
    </x:row>
    <x:row r="363">
      <x:c r="A363" s="24" t="str">
        <x:v>衢州</x:v>
      </x:c>
      <x:c r="B363" s="24" t="str"/>
      <x:c r="C363" s="24" t="str">
        <x:v>设备工程师（储备）</x:v>
      </x:c>
      <x:c r="D363" s="24" t="str">
        <x:v>杭氧深蓝</x:v>
      </x:c>
      <x:c r="E363" s="24" t="str">
        <x:v>6-9K·13薪</x:v>
      </x:c>
      <x:c r="F363" s="25" t="n">
        <x:v>6</x:v>
      </x:c>
      <x:c r="G363" s="24" t="str">
        <x:v>是</x:v>
      </x:c>
      <x:c r="H363" s="24" t="str"/>
    </x:row>
    <x:row r="364">
      <x:c r="A364" s="24" t="str">
        <x:v>衢州</x:v>
      </x:c>
      <x:c r="B364" s="24" t="str"/>
      <x:c r="C364" s="24" t="str">
        <x:v>机电实习生</x:v>
      </x:c>
      <x:c r="D364" s="24" t="str">
        <x:v>中合建设有限公司</x:v>
      </x:c>
      <x:c r="E364" s="24" t="str">
        <x:v>3-5K</x:v>
      </x:c>
      <x:c r="F364" s="25" t="n">
        <x:v>3</x:v>
      </x:c>
      <x:c r="G364" s="24" t="str"/>
      <x:c r="H364" s="24" t="str"/>
    </x:row>
    <x:row r="365">
      <x:c r="A365" s="24" t="str">
        <x:v>衢州</x:v>
      </x:c>
      <x:c r="B365" s="24" t="str">
        <x:v>龙游县</x:v>
      </x:c>
      <x:c r="C365" s="24" t="str">
        <x:v>机器人调试工程师</x:v>
      </x:c>
      <x:c r="D365" s="24" t="str">
        <x:v>兴锐自动化</x:v>
      </x:c>
      <x:c r="E365" s="24" t="str">
        <x:v>4-6K</x:v>
      </x:c>
      <x:c r="F365" s="25" t="n">
        <x:v>4</x:v>
      </x:c>
      <x:c r="G365" s="24" t="str"/>
      <x:c r="H365" s="24" t="str"/>
    </x:row>
    <x:row r="366">
      <x:c r="A366" s="24" t="str">
        <x:v>衢州</x:v>
      </x:c>
      <x:c r="B366" s="24" t="str"/>
      <x:c r="C366" s="24" t="str">
        <x:v>机电管培生</x:v>
      </x:c>
      <x:c r="D366" s="24" t="str">
        <x:v>东鹏饮料</x:v>
      </x:c>
      <x:c r="E366" s="24" t="str">
        <x:v>5-10K·13薪</x:v>
      </x:c>
      <x:c r="F366" s="25" t="n">
        <x:v>5</x:v>
      </x:c>
      <x:c r="G366" s="24" t="str"/>
      <x:c r="H366" s="24" t="str"/>
    </x:row>
    <x:row r="367">
      <x:c r="A367" s="24" t="str">
        <x:v>衢州</x:v>
      </x:c>
      <x:c r="B367" s="24" t="str"/>
      <x:c r="C367" s="24" t="str">
        <x:v>22届机电工程师</x:v>
      </x:c>
      <x:c r="D367" s="24" t="str">
        <x:v>衢州华友资源再生</x:v>
      </x:c>
      <x:c r="E367" s="24" t="str">
        <x:v>5-9K</x:v>
      </x:c>
      <x:c r="F367" s="25" t="n">
        <x:v>5</x:v>
      </x:c>
      <x:c r="G367" s="24" t="str"/>
      <x:c r="H367" s="24" t="str"/>
    </x:row>
    <x:row r="368">
      <x:c r="A368" s="24" t="str">
        <x:v>衢州</x:v>
      </x:c>
      <x:c r="B368" s="24" t="str"/>
      <x:c r="C368" s="24" t="str">
        <x:v>嵌入式硬件工程师</x:v>
      </x:c>
      <x:c r="D368" s="24" t="str">
        <x:v>衢州多谱信息</x:v>
      </x:c>
      <x:c r="E368" s="24" t="str">
        <x:v>6-8K</x:v>
      </x:c>
      <x:c r="F368" s="25" t="n">
        <x:v>6</x:v>
      </x:c>
      <x:c r="G368" s="24" t="str"/>
      <x:c r="H368" s="24" t="str"/>
    </x:row>
    <x:row r="369">
      <x:c r="A369" s="24" t="str">
        <x:v>连云港</x:v>
      </x:c>
      <x:c r="B369" s="24" t="str">
        <x:v>连云区</x:v>
      </x:c>
      <x:c r="C369" s="24" t="str">
        <x:v>设备工程师</x:v>
      </x:c>
      <x:c r="D369" s="24" t="str">
        <x:v>诺泰生物</x:v>
      </x:c>
      <x:c r="E369" s="24" t="str">
        <x:v>5-10K·14薪</x:v>
      </x:c>
      <x:c r="F369" s="25" t="n">
        <x:v>5</x:v>
      </x:c>
      <x:c r="G369" s="24" t="str">
        <x:v>是</x:v>
      </x:c>
      <x:c r="H369" s="24" t="str">
        <x:v>是</x:v>
      </x:c>
    </x:row>
    <x:row r="370">
      <x:c r="A370" s="24" t="str">
        <x:v>连云港</x:v>
      </x:c>
      <x:c r="B370" s="24" t="str"/>
      <x:c r="C370" s="24" t="str">
        <x:v>电气工程师(J11372)</x:v>
      </x:c>
      <x:c r="D370" s="24" t="str">
        <x:v>康缘</x:v>
      </x:c>
      <x:c r="E370" s="24" t="str">
        <x:v>5-6K</x:v>
      </x:c>
      <x:c r="F370" s="25" t="n">
        <x:v>5</x:v>
      </x:c>
      <x:c r="G370" s="24" t="str"/>
      <x:c r="H370" s="24" t="str"/>
    </x:row>
    <x:row r="371">
      <x:c r="A371" s="24" t="str">
        <x:v>金华</x:v>
      </x:c>
      <x:c r="B371" s="24" t="str">
        <x:v>婺城区</x:v>
      </x:c>
      <x:c r="C371" s="24" t="str">
        <x:v>电气/储能设计管培生</x:v>
      </x:c>
      <x:c r="D371" s="24" t="str">
        <x:v>晴天科技</x:v>
      </x:c>
      <x:c r="E371" s="24" t="str">
        <x:v>5-8K</x:v>
      </x:c>
      <x:c r="F371" s="25" t="n">
        <x:v>5</x:v>
      </x:c>
      <x:c r="G371" s="24" t="str"/>
      <x:c r="H371" s="24" t="str"/>
    </x:row>
    <x:row r="372">
      <x:c r="A372" s="24" t="str">
        <x:v>金华</x:v>
      </x:c>
      <x:c r="B372" s="24" t="str">
        <x:v>东阳市</x:v>
      </x:c>
      <x:c r="C372" s="24" t="str">
        <x:v>设备工程师</x:v>
      </x:c>
      <x:c r="D372" s="24" t="str">
        <x:v>普洛药业</x:v>
      </x:c>
      <x:c r="E372" s="24" t="str">
        <x:v>5-8K</x:v>
      </x:c>
      <x:c r="F372" s="25" t="n">
        <x:v>5</x:v>
      </x:c>
      <x:c r="G372" s="24" t="str"/>
      <x:c r="H372" s="24" t="str"/>
    </x:row>
    <x:row r="373">
      <x:c r="A373" s="24" t="str">
        <x:v>金华</x:v>
      </x:c>
      <x:c r="B373" s="24" t="str">
        <x:v>武义县</x:v>
      </x:c>
      <x:c r="C373" s="24" t="str">
        <x:v>运维总监助理（自动化或水利相关专业）</x:v>
      </x:c>
      <x:c r="D373" s="24" t="str">
        <x:v>泉盈集团</x:v>
      </x:c>
      <x:c r="E373" s="24" t="str">
        <x:v>10-15K</x:v>
      </x:c>
      <x:c r="F373" s="25" t="n">
        <x:v>10</x:v>
      </x:c>
      <x:c r="G373" s="24" t="str"/>
      <x:c r="H373" s="24" t="str"/>
    </x:row>
    <x:row r="374">
      <x:c r="A374" s="24" t="str">
        <x:v>金华</x:v>
      </x:c>
      <x:c r="B374" s="24" t="str"/>
      <x:c r="C374" s="24" t="str">
        <x:v>电子工程师/技术员</x:v>
      </x:c>
      <x:c r="D374" s="24" t="str">
        <x:v>永康干将</x:v>
      </x:c>
      <x:c r="E374" s="24" t="str">
        <x:v>6-8K</x:v>
      </x:c>
      <x:c r="F374" s="25" t="n">
        <x:v>6</x:v>
      </x:c>
      <x:c r="G374" s="24" t="str"/>
      <x:c r="H374" s="24" t="str"/>
    </x:row>
    <x:row r="375">
      <x:c r="A375" s="24" t="str">
        <x:v>金华</x:v>
      </x:c>
      <x:c r="B375" s="24" t="str"/>
      <x:c r="C375" s="24" t="str">
        <x:v>电子工程师</x:v>
      </x:c>
      <x:c r="D375" s="24" t="str">
        <x:v>星辉电子</x:v>
      </x:c>
      <x:c r="E375" s="24" t="str">
        <x:v>4-6K</x:v>
      </x:c>
      <x:c r="F375" s="25" t="n">
        <x:v>4</x:v>
      </x:c>
      <x:c r="G375" s="24" t="str"/>
      <x:c r="H375" s="24" t="str"/>
    </x:row>
    <x:row r="376">
      <x:c r="A376" s="24" t="str">
        <x:v>金华</x:v>
      </x:c>
      <x:c r="B376" s="24" t="str">
        <x:v>武义县</x:v>
      </x:c>
      <x:c r="C376" s="24" t="str">
        <x:v>plc电气工程师</x:v>
      </x:c>
      <x:c r="D376" s="24" t="str">
        <x:v>德进自动化创智能未来</x:v>
      </x:c>
      <x:c r="E376" s="24" t="str">
        <x:v>5-10K</x:v>
      </x:c>
      <x:c r="F376" s="25" t="n">
        <x:v>5</x:v>
      </x:c>
      <x:c r="G376" s="24" t="str"/>
      <x:c r="H376" s="24" t="str"/>
    </x:row>
    <x:row r="377">
      <x:c r="A377" s="24" t="str">
        <x:v>金华</x:v>
      </x:c>
      <x:c r="B377" s="24" t="str">
        <x:v>婺城区</x:v>
      </x:c>
      <x:c r="C377" s="24" t="str">
        <x:v>建筑电气设计实习生</x:v>
      </x:c>
      <x:c r="D377" s="24" t="str">
        <x:v>公和金华</x:v>
      </x:c>
      <x:c r="E377" s="24" t="str">
        <x:v>1-2K</x:v>
      </x:c>
      <x:c r="F377" s="25" t="n">
        <x:v>1</x:v>
      </x:c>
      <x:c r="G377" s="24" t="str"/>
      <x:c r="H377" s="24" t="str"/>
    </x:row>
    <x:row r="378">
      <x:c r="A378" s="24" t="str">
        <x:v>金华</x:v>
      </x:c>
      <x:c r="B378" s="24" t="str">
        <x:v>东阳市</x:v>
      </x:c>
      <x:c r="C378" s="24" t="str">
        <x:v>机电工程师</x:v>
      </x:c>
      <x:c r="D378" s="24" t="str">
        <x:v>横店集团东磁股份...</x:v>
      </x:c>
      <x:c r="E378" s="24" t="str">
        <x:v>4-9K</x:v>
      </x:c>
      <x:c r="F378" s="25" t="n">
        <x:v>4</x:v>
      </x:c>
      <x:c r="G378" s="24" t="str"/>
      <x:c r="H378" s="24" t="str"/>
    </x:row>
    <x:row r="379">
      <x:c r="A379" s="24" t="str">
        <x:v>镇江</x:v>
      </x:c>
      <x:c r="B379" s="24" t="str">
        <x:v>京口区</x:v>
      </x:c>
      <x:c r="C379" s="24" t="str">
        <x:v>电力设计工程师</x:v>
      </x:c>
      <x:c r="D379" s="24" t="str">
        <x:v>江苏明能电力设计咨询</x:v>
      </x:c>
      <x:c r="E379" s="24" t="str">
        <x:v>3-4K</x:v>
      </x:c>
      <x:c r="F379" s="25" t="n">
        <x:v>3</x:v>
      </x:c>
      <x:c r="G379" s="24" t="str"/>
      <x:c r="H379" s="24" t="str"/>
    </x:row>
    <x:row r="380">
      <x:c r="A380" s="24" t="str">
        <x:v>镇江</x:v>
      </x:c>
      <x:c r="B380" s="24" t="str">
        <x:v>京口区</x:v>
      </x:c>
      <x:c r="C380" s="24" t="str">
        <x:v>【27届校招】装备自动化工程师</x:v>
      </x:c>
      <x:c r="D380" s="24" t="str">
        <x:v>英科医疗科技</x:v>
      </x:c>
      <x:c r="E380" s="24" t="str">
        <x:v>10-15K</x:v>
      </x:c>
      <x:c r="F380" s="25" t="n">
        <x:v>10</x:v>
      </x:c>
      <x:c r="G380" s="24" t="str"/>
      <x:c r="H380" s="24" t="str"/>
    </x:row>
    <x:row r="381">
      <x:c r="A381" s="24" t="str">
        <x:v>镇江</x:v>
      </x:c>
      <x:c r="B381" s="24" t="str">
        <x:v>扬中市</x:v>
      </x:c>
      <x:c r="C381" s="24" t="str">
        <x:v>设备工程师（大学生招聘）</x:v>
      </x:c>
      <x:c r="D381" s="24" t="str">
        <x:v>蜂巢汽车集团</x:v>
      </x:c>
      <x:c r="E381" s="24" t="str">
        <x:v>6-7K·14薪</x:v>
      </x:c>
      <x:c r="F381" s="25" t="n">
        <x:v>6</x:v>
      </x:c>
      <x:c r="G381" s="24" t="str">
        <x:v>是</x:v>
      </x:c>
      <x:c r="H381" s="24" t="str">
        <x:v>是</x:v>
      </x:c>
    </x:row>
    <x:row r="382">
      <x:c r="A382" s="24" t="str">
        <x:v>镇江</x:v>
      </x:c>
      <x:c r="B382" s="24" t="str"/>
      <x:c r="C382" s="24" t="str">
        <x:v>硬件助理工程师</x:v>
      </x:c>
      <x:c r="D382" s="24" t="str">
        <x:v>金海创</x:v>
      </x:c>
      <x:c r="E382" s="24" t="str">
        <x:v>5-6K</x:v>
      </x:c>
      <x:c r="F382" s="25" t="n">
        <x:v>5</x:v>
      </x:c>
      <x:c r="G382" s="24" t="str"/>
      <x:c r="H382" s="24" t="str"/>
    </x:row>
    <x:row r="383">
      <x:c r="A383" s="24" t="str">
        <x:v>镇江</x:v>
      </x:c>
      <x:c r="B383" s="24" t="str">
        <x:v>润州区</x:v>
      </x:c>
      <x:c r="C383" s="24" t="str">
        <x:v>电气工程师（接受应届）</x:v>
      </x:c>
      <x:c r="D383" s="24" t="str">
        <x:v>江苏信鸿数据技术</x:v>
      </x:c>
      <x:c r="E383" s="24" t="str">
        <x:v>7-9K·13薪</x:v>
      </x:c>
      <x:c r="F383" s="25" t="n">
        <x:v>7</x:v>
      </x:c>
      <x:c r="G383" s="24" t="str"/>
      <x:c r="H383" s="24" t="str"/>
    </x:row>
    <x:row r="384">
      <x:c r="A384" s="24" t="str">
        <x:v>镇江</x:v>
      </x:c>
      <x:c r="B384" s="24" t="str">
        <x:v>丹阳市</x:v>
      </x:c>
      <x:c r="C384" s="24" t="str">
        <x:v>电子工程师</x:v>
      </x:c>
      <x:c r="D384" s="24" t="str">
        <x:v>丹阳市双威汽车零部件</x:v>
      </x:c>
      <x:c r="E384" s="24" t="str">
        <x:v>5-6K</x:v>
      </x:c>
      <x:c r="F384" s="25" t="n">
        <x:v>5</x:v>
      </x:c>
      <x:c r="G384" s="24" t="str"/>
      <x:c r="H384" s="24" t="str"/>
    </x:row>
    <x:row r="385">
      <x:c r="A385" s="24" t="str">
        <x:v>镇江</x:v>
      </x:c>
      <x:c r="B385" s="24" t="str">
        <x:v>京口区</x:v>
      </x:c>
      <x:c r="C385" s="24" t="str">
        <x:v>化工设备工程师</x:v>
      </x:c>
      <x:c r="D385" s="24" t="str">
        <x:v>赛瑞科技</x:v>
      </x:c>
      <x:c r="E385" s="24" t="str">
        <x:v>6-9K</x:v>
      </x:c>
      <x:c r="F385" s="25" t="n">
        <x:v>6</x:v>
      </x:c>
      <x:c r="G385" s="24" t="str"/>
      <x:c r="H385" s="24" t="str"/>
    </x:row>
    <x:row r="386">
      <x:c r="A386" s="24" t="str">
        <x:v>镇江</x:v>
      </x:c>
      <x:c r="B386" s="24" t="str">
        <x:v>京口区</x:v>
      </x:c>
      <x:c r="C386" s="24" t="str">
        <x:v>【27届校招实习转正】装备自动化工程师</x:v>
      </x:c>
      <x:c r="D386" s="24" t="str">
        <x:v>英科医疗科技</x:v>
      </x:c>
      <x:c r="E386" s="24" t="str">
        <x:v>12-18K</x:v>
      </x:c>
      <x:c r="F386" s="25" t="n">
        <x:v>12</x:v>
      </x:c>
      <x:c r="G386" s="24" t="str"/>
      <x:c r="H386" s="24" t="str"/>
    </x:row>
    <x:row r="387">
      <x:c r="A387" s="24" t="str">
        <x:v>镇江</x:v>
      </x:c>
      <x:c r="B387" s="24" t="str">
        <x:v>扬中市</x:v>
      </x:c>
      <x:c r="C387" s="24" t="str">
        <x:v>PCBA维修技术员（锡焊）</x:v>
      </x:c>
      <x:c r="D387" s="24" t="str">
        <x:v>爱士惟</x:v>
      </x:c>
      <x:c r="E387" s="24" t="str">
        <x:v>5-7K</x:v>
      </x:c>
      <x:c r="F387" s="25" t="n">
        <x:v>5</x:v>
      </x:c>
      <x:c r="G387" s="24" t="str"/>
      <x:c r="H387" s="24" t="str"/>
    </x:row>
    <x:row r="388">
      <x:c r="A388" s="24" t="str">
        <x:v>镇江</x:v>
      </x:c>
      <x:c r="B388" s="24" t="str"/>
      <x:c r="C388" s="24" t="str">
        <x:v>电气工程师</x:v>
      </x:c>
      <x:c r="D388" s="24" t="str">
        <x:v>大全集团</x:v>
      </x:c>
      <x:c r="E388" s="24" t="str">
        <x:v>6-8K·16薪</x:v>
      </x:c>
      <x:c r="F388" s="25" t="n">
        <x:v>6</x:v>
      </x:c>
      <x:c r="G388" s="24" t="str"/>
      <x:c r="H388" s="24" t="str"/>
    </x:row>
    <x:row r="389">
      <x:c r="A389" s="24" t="str">
        <x:v>镇江</x:v>
      </x:c>
      <x:c r="B389" s="24" t="str">
        <x:v>京口区</x:v>
      </x:c>
      <x:c r="C389" s="24" t="str">
        <x:v>装备自动化工程师</x:v>
      </x:c>
      <x:c r="D389" s="24" t="str">
        <x:v>江苏英科</x:v>
      </x:c>
      <x:c r="E389" s="24" t="str">
        <x:v>10-15K</x:v>
      </x:c>
      <x:c r="F389" s="25" t="n">
        <x:v>10</x:v>
      </x:c>
      <x:c r="G389" s="24" t="str"/>
      <x:c r="H389" s="2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4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5" t="str">
        <x:v>城市</x:v>
      </x:c>
      <x:c r="B1" s="5" t="str">
        <x:v>2024全体收入</x:v>
      </x:c>
      <x:c r="C1" s="5" t="str">
        <x:v>2024城镇收入</x:v>
      </x:c>
      <x:c r="D1" s="5" t="str">
        <x:v>2024农村收入</x:v>
      </x:c>
      <x:c r="E1" s="5" t="str">
        <x:v>2024全体消费</x:v>
      </x:c>
      <x:c r="F1" s="5" t="str">
        <x:v>最新年份</x:v>
      </x:c>
      <x:c r="G1" s="5" t="str">
        <x:v>最新全体收入</x:v>
      </x:c>
      <x:c r="H1" s="5" t="str">
        <x:v>最新城镇收入</x:v>
      </x:c>
      <x:c r="I1" s="5" t="str">
        <x:v>最新全体消费</x:v>
      </x:c>
      <x:c r="J1" s="5" t="str">
        <x:v>工资年份</x:v>
      </x:c>
      <x:c r="K1" s="5" t="str">
        <x:v>非私营单位年均工资</x:v>
      </x:c>
      <x:c r="L1" s="5" t="str">
        <x:v>私营单位年均工资</x:v>
      </x:c>
    </x:row>
    <x:row r="2">
      <x:c r="A2" s="24" t="str">
        <x:v>上海</x:v>
      </x:c>
      <x:c r="B2" s="24" t="n">
        <x:v>88366</x:v>
      </x:c>
      <x:c r="C2" s="24" t="n">
        <x:v>93095</x:v>
      </x:c>
      <x:c r="D2" s="24" t="n">
        <x:v>45644</x:v>
      </x:c>
      <x:c r="E2" s="24" t="str"/>
      <x:c r="F2" s="24" t="n">
        <x:v>2025</x:v>
      </x:c>
      <x:c r="G2" s="24" t="n">
        <x:v>91987</x:v>
      </x:c>
      <x:c r="H2" s="24" t="n">
        <x:v>96842</x:v>
      </x:c>
      <x:c r="I2" s="24" t="n">
        <x:v>54765</x:v>
      </x:c>
      <x:c r="J2" s="24" t="str"/>
      <x:c r="K2" s="24" t="str"/>
      <x:c r="L2" s="24" t="str"/>
    </x:row>
    <x:row r="3">
      <x:c r="A3" s="24" t="str">
        <x:v>苏州</x:v>
      </x:c>
      <x:c r="B3" s="24" t="n">
        <x:v>77524</x:v>
      </x:c>
      <x:c r="C3" s="24" t="n">
        <x:v>86640</x:v>
      </x:c>
      <x:c r="D3" s="24" t="n">
        <x:v>48946</x:v>
      </x:c>
      <x:c r="E3" s="24" t="str"/>
      <x:c r="F3" s="24" t="n">
        <x:v>2024</x:v>
      </x:c>
      <x:c r="G3" s="24" t="n">
        <x:v>77524</x:v>
      </x:c>
      <x:c r="H3" s="24" t="str"/>
      <x:c r="I3" s="24" t="str"/>
      <x:c r="J3" s="24" t="str"/>
      <x:c r="K3" s="24" t="str"/>
      <x:c r="L3" s="24" t="str"/>
    </x:row>
    <x:row r="4">
      <x:c r="A4" s="24" t="str">
        <x:v>杭州</x:v>
      </x:c>
      <x:c r="B4" s="24" t="n">
        <x:v>76777</x:v>
      </x:c>
      <x:c r="C4" s="24" t="n">
        <x:v>83356</x:v>
      </x:c>
      <x:c r="D4" s="24" t="n">
        <x:v>50805</x:v>
      </x:c>
      <x:c r="E4" s="24" t="n">
        <x:v>52996</x:v>
      </x:c>
      <x:c r="F4" s="24" t="n">
        <x:v>2025</x:v>
      </x:c>
      <x:c r="G4" s="24" t="n">
        <x:v>80017</x:v>
      </x:c>
      <x:c r="H4" s="24" t="n">
        <x:v>86640</x:v>
      </x:c>
      <x:c r="I4" s="24" t="n">
        <x:v>55592</x:v>
      </x:c>
      <x:c r="J4" s="24" t="n">
        <x:v>2025</x:v>
      </x:c>
      <x:c r="K4" s="24" t="n">
        <x:v>168604</x:v>
      </x:c>
      <x:c r="L4" s="24" t="n">
        <x:v>95545</x:v>
      </x:c>
    </x:row>
    <x:row r="5">
      <x:c r="A5" s="24" t="str">
        <x:v>南京</x:v>
      </x:c>
      <x:c r="B5" s="24" t="n">
        <x:v>75180</x:v>
      </x:c>
      <x:c r="C5" s="24" t="n">
        <x:v>83084</x:v>
      </x:c>
      <x:c r="D5" s="24" t="n">
        <x:v>38690</x:v>
      </x:c>
      <x:c r="E5" s="24" t="str"/>
      <x:c r="F5" s="24" t="str"/>
      <x:c r="G5" s="24" t="str"/>
      <x:c r="H5" s="24" t="str"/>
      <x:c r="I5" s="24" t="str"/>
      <x:c r="J5" s="24" t="str"/>
      <x:c r="K5" s="24" t="str"/>
      <x:c r="L5" s="24" t="str"/>
    </x:row>
    <x:row r="6">
      <x:c r="A6" s="24" t="str">
        <x:v>宁波</x:v>
      </x:c>
      <x:c r="B6" s="24" t="n">
        <x:v>74806</x:v>
      </x:c>
      <x:c r="C6" s="24" t="n">
        <x:v>83110</x:v>
      </x:c>
      <x:c r="D6" s="24" t="n">
        <x:v>51203</x:v>
      </x:c>
      <x:c r="E6" s="24" t="n">
        <x:v>48366</x:v>
      </x:c>
      <x:c r="F6" s="24" t="str"/>
      <x:c r="G6" s="24" t="str"/>
      <x:c r="H6" s="24" t="str"/>
      <x:c r="I6" s="24" t="str"/>
      <x:c r="J6" s="24" t="str"/>
      <x:c r="K6" s="24" t="str"/>
      <x:c r="L6" s="24" t="str"/>
    </x:row>
    <x:row r="7">
      <x:c r="A7" s="24" t="str">
        <x:v>绍兴</x:v>
      </x:c>
      <x:c r="B7" s="24" t="n">
        <x:v>72898</x:v>
      </x:c>
      <x:c r="C7" s="24" t="n">
        <x:v>83579</x:v>
      </x:c>
      <x:c r="D7" s="24" t="n">
        <x:v>51530</x:v>
      </x:c>
      <x:c r="E7" s="24" t="n">
        <x:v>46849</x:v>
      </x:c>
      <x:c r="F7" s="24" t="n">
        <x:v>2025</x:v>
      </x:c>
      <x:c r="G7" s="24" t="n">
        <x:v>76732</x:v>
      </x:c>
      <x:c r="H7" s="24" t="str"/>
      <x:c r="I7" s="24" t="str"/>
      <x:c r="J7" s="24" t="n">
        <x:v>2025</x:v>
      </x:c>
      <x:c r="K7" s="24" t="n">
        <x:v>120683</x:v>
      </x:c>
      <x:c r="L7" s="24" t="str"/>
    </x:row>
    <x:row r="8">
      <x:c r="A8" s="24" t="str">
        <x:v>无锡</x:v>
      </x:c>
      <x:c r="B8" s="24" t="n">
        <x:v>72232</x:v>
      </x:c>
      <x:c r="C8" s="24" t="n">
        <x:v>80003</x:v>
      </x:c>
      <x:c r="D8" s="24" t="n">
        <x:v>47078</x:v>
      </x:c>
      <x:c r="E8" s="24" t="str"/>
      <x:c r="F8" s="24" t="str"/>
      <x:c r="G8" s="24" t="str"/>
      <x:c r="H8" s="24" t="str"/>
      <x:c r="I8" s="24" t="str"/>
      <x:c r="J8" s="24" t="n">
        <x:v>2025</x:v>
      </x:c>
      <x:c r="K8" s="24" t="n">
        <x:v>144752</x:v>
      </x:c>
      <x:c r="L8" s="24" t="n">
        <x:v>82880</x:v>
      </x:c>
    </x:row>
    <x:row r="9">
      <x:c r="A9" s="24" t="str">
        <x:v>舟山</x:v>
      </x:c>
      <x:c r="B9" s="24" t="n">
        <x:v>71154</x:v>
      </x:c>
      <x:c r="C9" s="24" t="n">
        <x:v>79416</x:v>
      </x:c>
      <x:c r="D9" s="24" t="n">
        <x:v>52195</x:v>
      </x:c>
      <x:c r="E9" s="24" t="n">
        <x:v>46192</x:v>
      </x:c>
      <x:c r="F9" s="24" t="n">
        <x:v>2025</x:v>
      </x:c>
      <x:c r="G9" s="24" t="n">
        <x:v>74528</x:v>
      </x:c>
      <x:c r="H9" s="24" t="n">
        <x:v>82911</x:v>
      </x:c>
      <x:c r="I9" s="24" t="n">
        <x:v>48659</x:v>
      </x:c>
      <x:c r="J9" s="24" t="n">
        <x:v>2025</x:v>
      </x:c>
      <x:c r="K9" s="24" t="n">
        <x:v>138061</x:v>
      </x:c>
      <x:c r="L9" s="24" t="n">
        <x:v>82075</x:v>
      </x:c>
    </x:row>
    <x:row r="10">
      <x:c r="A10" s="24" t="str">
        <x:v>温州</x:v>
      </x:c>
      <x:c r="B10" s="24" t="n">
        <x:v>70829</x:v>
      </x:c>
      <x:c r="C10" s="24" t="n">
        <x:v>81527</x:v>
      </x:c>
      <x:c r="D10" s="24" t="n">
        <x:v>44263</x:v>
      </x:c>
      <x:c r="E10" s="24" t="n">
        <x:v>50272</x:v>
      </x:c>
      <x:c r="F10" s="24" t="n">
        <x:v>2025</x:v>
      </x:c>
      <x:c r="G10" s="24" t="n">
        <x:v>73660</x:v>
      </x:c>
      <x:c r="H10" s="24" t="str"/>
      <x:c r="I10" s="24" t="n">
        <x:v>52591</x:v>
      </x:c>
      <x:c r="J10" s="24" t="n">
        <x:v>2025</x:v>
      </x:c>
      <x:c r="K10" s="24" t="n">
        <x:v>129776</x:v>
      </x:c>
      <x:c r="L10" s="24" t="n">
        <x:v>73231</x:v>
      </x:c>
    </x:row>
    <x:row r="11">
      <x:c r="A11" s="24" t="str">
        <x:v>嘉兴</x:v>
      </x:c>
      <x:c r="B11" s="24" t="n">
        <x:v>69232</x:v>
      </x:c>
      <x:c r="C11" s="24" t="n">
        <x:v>78641</x:v>
      </x:c>
      <x:c r="D11" s="24" t="n">
        <x:v>52249</x:v>
      </x:c>
      <x:c r="E11" s="24" t="n">
        <x:v>45741</x:v>
      </x:c>
      <x:c r="F11" s="24" t="n">
        <x:v>2025</x:v>
      </x:c>
      <x:c r="G11" s="24" t="n">
        <x:v>72086</x:v>
      </x:c>
      <x:c r="H11" s="24" t="n">
        <x:v>81547</x:v>
      </x:c>
      <x:c r="I11" s="24" t="str"/>
      <x:c r="J11" s="24" t="n">
        <x:v>2025</x:v>
      </x:c>
      <x:c r="K11" s="24" t="n">
        <x:v>133695</x:v>
      </x:c>
      <x:c r="L11" s="24" t="n">
        <x:v>82578</x:v>
      </x:c>
    </x:row>
    <x:row r="12">
      <x:c r="A12" s="24" t="str">
        <x:v>湖州</x:v>
      </x:c>
      <x:c r="B12" s="24" t="n">
        <x:v>67290</x:v>
      </x:c>
      <x:c r="C12" s="24" t="n">
        <x:v>77551</x:v>
      </x:c>
      <x:c r="D12" s="24" t="n">
        <x:v>50797</x:v>
      </x:c>
      <x:c r="E12" s="24" t="n">
        <x:v>44484</x:v>
      </x:c>
      <x:c r="F12" s="24" t="n">
        <x:v>2024</x:v>
      </x:c>
      <x:c r="G12" s="24" t="n">
        <x:v>67290</x:v>
      </x:c>
      <x:c r="H12" s="24" t="n">
        <x:v>77551</x:v>
      </x:c>
      <x:c r="I12" s="24" t="str"/>
      <x:c r="J12" s="24" t="n">
        <x:v>2025</x:v>
      </x:c>
      <x:c r="K12" s="24" t="n">
        <x:v>121830</x:v>
      </x:c>
      <x:c r="L12" s="24" t="n">
        <x:v>84951</x:v>
      </x:c>
    </x:row>
    <x:row r="13">
      <x:c r="A13" s="24" t="str">
        <x:v>常州</x:v>
      </x:c>
      <x:c r="B13" s="24" t="n">
        <x:v>65665</x:v>
      </x:c>
      <x:c r="C13" s="24" t="n">
        <x:v>75003</x:v>
      </x:c>
      <x:c r="D13" s="24" t="n">
        <x:v>42671</x:v>
      </x:c>
      <x:c r="E13" s="24" t="str"/>
      <x:c r="F13" s="24" t="n">
        <x:v>2025</x:v>
      </x:c>
      <x:c r="G13" s="24" t="n">
        <x:v>68295</x:v>
      </x:c>
      <x:c r="H13" s="24" t="n">
        <x:v>77763</x:v>
      </x:c>
      <x:c r="I13" s="24" t="str"/>
      <x:c r="J13" s="24" t="str"/>
      <x:c r="K13" s="24" t="str"/>
      <x:c r="L13" s="24" t="str"/>
    </x:row>
    <x:row r="14">
      <x:c r="A14" s="24" t="str">
        <x:v>金华</x:v>
      </x:c>
      <x:c r="B14" s="24" t="n">
        <x:v>64816</x:v>
      </x:c>
      <x:c r="C14" s="24" t="n">
        <x:v>76866</x:v>
      </x:c>
      <x:c r="D14" s="24" t="n">
        <x:v>40700</x:v>
      </x:c>
      <x:c r="E14" s="24" t="n">
        <x:v>44641</x:v>
      </x:c>
      <x:c r="F14" s="24" t="str"/>
      <x:c r="G14" s="24" t="str"/>
      <x:c r="H14" s="24" t="str"/>
      <x:c r="I14" s="24" t="str"/>
      <x:c r="J14" s="24" t="n">
        <x:v>2025</x:v>
      </x:c>
      <x:c r="K14" s="24" t="n">
        <x:v>127645</x:v>
      </x:c>
      <x:c r="L14" s="24" t="n">
        <x:v>78216</x:v>
      </x:c>
    </x:row>
    <x:row r="15">
      <x:c r="A15" s="24" t="str">
        <x:v>台州</x:v>
      </x:c>
      <x:c r="B15" s="24" t="n">
        <x:v>64424</x:v>
      </x:c>
      <x:c r="C15" s="24" t="n">
        <x:v>77582</x:v>
      </x:c>
      <x:c r="D15" s="24" t="n">
        <x:v>42575</x:v>
      </x:c>
      <x:c r="E15" s="24" t="n">
        <x:v>44078</x:v>
      </x:c>
      <x:c r="F15" s="24" t="str"/>
      <x:c r="G15" s="24" t="str"/>
      <x:c r="H15" s="24" t="str"/>
      <x:c r="I15" s="24" t="str"/>
      <x:c r="J15" s="24" t="str"/>
      <x:c r="K15" s="24" t="str"/>
      <x:c r="L15" s="24" t="str"/>
    </x:row>
    <x:row r="16">
      <x:c r="A16" s="24" t="str">
        <x:v>镇江</x:v>
      </x:c>
      <x:c r="B16" s="24" t="n">
        <x:v>58555</x:v>
      </x:c>
      <x:c r="C16" s="24" t="n">
        <x:v>67727</x:v>
      </x:c>
      <x:c r="D16" s="24" t="n">
        <x:v>37849</x:v>
      </x:c>
      <x:c r="E16" s="24" t="str"/>
      <x:c r="F16" s="24" t="n">
        <x:v>2025</x:v>
      </x:c>
      <x:c r="G16" s="24" t="n">
        <x:v>61387</x:v>
      </x:c>
      <x:c r="H16" s="24" t="n">
        <x:v>70800</x:v>
      </x:c>
      <x:c r="I16" s="24" t="n">
        <x:v>39277</x:v>
      </x:c>
      <x:c r="J16" s="24" t="n">
        <x:v>2025</x:v>
      </x:c>
      <x:c r="K16" s="24" t="n">
        <x:v>118451</x:v>
      </x:c>
      <x:c r="L16" s="24" t="str"/>
    </x:row>
    <x:row r="17">
      <x:c r="A17" s="24" t="str">
        <x:v>南通</x:v>
      </x:c>
      <x:c r="B17" s="24" t="n">
        <x:v>54641</x:v>
      </x:c>
      <x:c r="C17" s="24" t="n">
        <x:v>65457</x:v>
      </x:c>
      <x:c r="D17" s="24" t="n">
        <x:v>35136</x:v>
      </x:c>
      <x:c r="E17" s="24" t="str"/>
      <x:c r="F17" s="24" t="str"/>
      <x:c r="G17" s="24" t="str"/>
      <x:c r="H17" s="24" t="str"/>
      <x:c r="I17" s="24" t="str"/>
      <x:c r="J17" s="24" t="str"/>
      <x:c r="K17" s="24" t="str"/>
      <x:c r="L17" s="24" t="str"/>
    </x:row>
    <x:row r="18">
      <x:c r="A18" s="24" t="str">
        <x:v>泰州</x:v>
      </x:c>
      <x:c r="B18" s="24" t="n">
        <x:v>51944</x:v>
      </x:c>
      <x:c r="C18" s="24" t="n">
        <x:v>62406</x:v>
      </x:c>
      <x:c r="D18" s="24" t="n">
        <x:v>33959</x:v>
      </x:c>
      <x:c r="E18" s="24" t="str"/>
      <x:c r="F18" s="24" t="str"/>
      <x:c r="G18" s="24" t="str"/>
      <x:c r="H18" s="24" t="str"/>
      <x:c r="I18" s="24" t="str"/>
      <x:c r="J18" s="24" t="n">
        <x:v>2025</x:v>
      </x:c>
      <x:c r="K18" s="24" t="n">
        <x:v>119915</x:v>
      </x:c>
      <x:c r="L18" s="24" t="n">
        <x:v>75814</x:v>
      </x:c>
    </x:row>
    <x:row r="19">
      <x:c r="A19" s="24" t="str">
        <x:v>衢州</x:v>
      </x:c>
      <x:c r="B19" s="24" t="n">
        <x:v>50990</x:v>
      </x:c>
      <x:c r="C19" s="24" t="n">
        <x:v>63556</x:v>
      </x:c>
      <x:c r="D19" s="24" t="n">
        <x:v>36204</x:v>
      </x:c>
      <x:c r="E19" s="24" t="n">
        <x:v>31171</x:v>
      </x:c>
      <x:c r="F19" s="24" t="n">
        <x:v>2025</x:v>
      </x:c>
      <x:c r="G19" s="24" t="n">
        <x:v>53555</x:v>
      </x:c>
      <x:c r="H19" s="24" t="str"/>
      <x:c r="I19" s="24" t="str"/>
      <x:c r="J19" s="24" t="str"/>
      <x:c r="K19" s="24" t="str"/>
      <x:c r="L19" s="24" t="str"/>
    </x:row>
    <x:row r="20">
      <x:c r="A20" s="24" t="str">
        <x:v>扬州</x:v>
      </x:c>
      <x:c r="B20" s="24" t="n">
        <x:v>50439</x:v>
      </x:c>
      <x:c r="C20" s="24" t="n">
        <x:v>59614</x:v>
      </x:c>
      <x:c r="D20" s="24" t="n">
        <x:v>33607</x:v>
      </x:c>
      <x:c r="E20" s="24" t="str"/>
      <x:c r="F20" s="24" t="n">
        <x:v>2025</x:v>
      </x:c>
      <x:c r="G20" s="24" t="n">
        <x:v>52996</x:v>
      </x:c>
      <x:c r="H20" s="24" t="n">
        <x:v>62332</x:v>
      </x:c>
      <x:c r="I20" s="24" t="n">
        <x:v>33936</x:v>
      </x:c>
      <x:c r="J20" s="24" t="str"/>
      <x:c r="K20" s="24" t="str"/>
      <x:c r="L20" s="24" t="str"/>
    </x:row>
    <x:row r="21">
      <x:c r="A21" s="24" t="str">
        <x:v>丽水</x:v>
      </x:c>
      <x:c r="B21" s="24" t="n">
        <x:v>50015</x:v>
      </x:c>
      <x:c r="C21" s="24" t="n">
        <x:v>61629</x:v>
      </x:c>
      <x:c r="D21" s="24" t="n">
        <x:v>33000</x:v>
      </x:c>
      <x:c r="E21" s="24" t="n">
        <x:v>38265</x:v>
      </x:c>
      <x:c r="F21" s="24" t="n">
        <x:v>2025</x:v>
      </x:c>
      <x:c r="G21" s="24" t="n">
        <x:v>52979</x:v>
      </x:c>
      <x:c r="H21" s="24" t="str"/>
      <x:c r="I21" s="24" t="str"/>
      <x:c r="J21" s="24" t="str"/>
      <x:c r="K21" s="24" t="str"/>
      <x:c r="L21" s="24" t="str"/>
    </x:row>
    <x:row r="22">
      <x:c r="A22" s="24" t="str">
        <x:v>盐城</x:v>
      </x:c>
      <x:c r="B22" s="24" t="n">
        <x:v>43515</x:v>
      </x:c>
      <x:c r="C22" s="24" t="n">
        <x:v>50833</x:v>
      </x:c>
      <x:c r="D22" s="24" t="n">
        <x:v>31666</x:v>
      </x:c>
      <x:c r="E22" s="24" t="str"/>
      <x:c r="F22" s="24" t="n">
        <x:v>2025</x:v>
      </x:c>
      <x:c r="G22" s="24" t="n">
        <x:v>45731</x:v>
      </x:c>
      <x:c r="H22" s="24" t="n">
        <x:v>53128</x:v>
      </x:c>
      <x:c r="I22" s="24" t="n">
        <x:v>27821</x:v>
      </x:c>
      <x:c r="J22" s="24" t="n">
        <x:v>2025</x:v>
      </x:c>
      <x:c r="K22" s="24" t="n">
        <x:v>108299</x:v>
      </x:c>
      <x:c r="L22" s="24" t="n">
        <x:v>72757</x:v>
      </x:c>
    </x:row>
    <x:row r="23">
      <x:c r="A23" s="24" t="str">
        <x:v>淮安</x:v>
      </x:c>
      <x:c r="B23" s="24" t="n">
        <x:v>41324</x:v>
      </x:c>
      <x:c r="C23" s="24" t="n">
        <x:v>50862</x:v>
      </x:c>
      <x:c r="D23" s="24" t="n">
        <x:v>27048</x:v>
      </x:c>
      <x:c r="E23" s="24" t="str"/>
      <x:c r="F23" s="24" t="n">
        <x:v>2025</x:v>
      </x:c>
      <x:c r="G23" s="24" t="n">
        <x:v>43553</x:v>
      </x:c>
      <x:c r="H23" s="24" t="n">
        <x:v>53283</x:v>
      </x:c>
      <x:c r="I23" s="24" t="str"/>
      <x:c r="J23" s="24" t="str"/>
      <x:c r="K23" s="24" t="str"/>
      <x:c r="L23" s="24" t="str"/>
    </x:row>
    <x:row r="24">
      <x:c r="A24" s="24" t="str">
        <x:v>徐州</x:v>
      </x:c>
      <x:c r="B24" s="24" t="n">
        <x:v>40251</x:v>
      </x:c>
      <x:c r="C24" s="24" t="n">
        <x:v>46936</x:v>
      </x:c>
      <x:c r="D24" s="24" t="n">
        <x:v>29006</x:v>
      </x:c>
      <x:c r="E24" s="24" t="str"/>
      <x:c r="F24" s="24" t="n">
        <x:v>2025</x:v>
      </x:c>
      <x:c r="G24" s="24" t="n">
        <x:v>42230</x:v>
      </x:c>
      <x:c r="H24" s="24" t="n">
        <x:v>48978</x:v>
      </x:c>
      <x:c r="I24" s="24" t="n">
        <x:v>27158</x:v>
      </x:c>
      <x:c r="J24" s="24" t="str"/>
      <x:c r="K24" s="24" t="str"/>
      <x:c r="L24" s="24" t="str"/>
    </x:row>
    <x:row r="25">
      <x:c r="A25" s="24" t="str">
        <x:v>连云港</x:v>
      </x:c>
      <x:c r="B25" s="24" t="n">
        <x:v>38085</x:v>
      </x:c>
      <x:c r="C25" s="24" t="n">
        <x:v>45944</x:v>
      </x:c>
      <x:c r="D25" s="24" t="n">
        <x:v>26148</x:v>
      </x:c>
      <x:c r="E25" s="24" t="str"/>
      <x:c r="F25" s="24" t="str"/>
      <x:c r="G25" s="24" t="str"/>
      <x:c r="H25" s="24" t="str"/>
      <x:c r="I25" s="24" t="str"/>
      <x:c r="J25" s="24" t="str"/>
      <x:c r="K25" s="24" t="str"/>
      <x:c r="L25" s="24" t="str"/>
    </x:row>
    <x:row r="26">
      <x:c r="A26" s="24" t="str">
        <x:v>宿迁</x:v>
      </x:c>
      <x:c r="B26" s="24" t="n">
        <x:v>34657</x:v>
      </x:c>
      <x:c r="C26" s="24" t="n">
        <x:v>40772</x:v>
      </x:c>
      <x:c r="D26" s="24" t="n">
        <x:v>26408</x:v>
      </x:c>
      <x:c r="E26" s="24" t="str"/>
      <x:c r="F26" s="24" t="str"/>
      <x:c r="G26" s="24" t="str"/>
      <x:c r="H26" s="24" t="str"/>
      <x:c r="I26" s="24" t="str"/>
      <x:c r="J26" s="24" t="str"/>
      <x:c r="K26" s="24" t="str"/>
      <x:c r="L26" s="24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2" hidden="0" customWidth="1"/>
    <x:col min="3" max="3" width="46" hidden="0" customWidth="1"/>
    <x:col min="4" max="4" width="14" hidden="0" customWidth="1"/>
  </x:cols>
  <x:sheetData>
    <x:row r="1">
      <x:c r="A1" s="5" t="str">
        <x:v>数据模块</x:v>
      </x:c>
      <x:c r="B1" s="5" t="str">
        <x:v>来源</x:v>
      </x:c>
      <x:c r="C1" s="5" t="str">
        <x:v>覆盖范围</x:v>
      </x:c>
      <x:c r="D1" s="5" t="str">
        <x:v>证据等级</x:v>
      </x:c>
    </x:row>
    <x:row r="2" ht="26" customHeight="1">
      <x:c r="A2" s="10" t="str">
        <x:v>薪资（招聘市场）</x:v>
      </x:c>
      <x:c r="B2" s="10" t="str">
        <x:v>BOSS 直聘 API</x:v>
      </x:c>
      <x:c r="C2" s="10" t="str">
        <x:v>6197 条岗位，25 城 × 12 关键词 × 2 经验档</x:v>
      </x:c>
      <x:c r="D2" s="10" t="str">
        <x:v>B 平台数据</x:v>
      </x:c>
    </x:row>
    <x:row r="3" ht="26" customHeight="1">
      <x:c r="A3" s="10" t="str">
        <x:v>薪资（官方工资）</x:v>
      </x:c>
      <x:c r="B3" s="10" t="str">
        <x:v>各市统计局《单位就业人员年平均工资统计公报》</x:v>
      </x:c>
      <x:c r="C3" s="10" t="str">
        <x:v>11 城</x:v>
      </x:c>
      <x:c r="D3" s="10" t="str">
        <x:v>A 官方数据</x:v>
      </x:c>
    </x:row>
    <x:row r="4" ht="26" customHeight="1">
      <x:c r="A4" s="10" t="str">
        <x:v>居民收入与消费支出</x:v>
      </x:c>
      <x:c r="B4" s="10" t="str">
        <x:v>台州统计年鉴 2025 表 20-3（转载各市统计局）</x:v>
      </x:c>
      <x:c r="C4" s="10" t="str">
        <x:v>25 城 2024 年</x:v>
      </x:c>
      <x:c r="D4" s="10" t="str">
        <x:v>A 官方数据</x:v>
      </x:c>
    </x:row>
    <x:row r="5" ht="26" customHeight="1">
      <x:c r="A5" s="10" t="str">
        <x:v>居民收入与消费支出</x:v>
      </x:c>
      <x:c r="B5" s="10" t="str">
        <x:v>各市统计局国民经济和社会发展统计公报</x:v>
      </x:c>
      <x:c r="C5" s="10" t="str">
        <x:v>14 城 2025 年</x:v>
      </x:c>
      <x:c r="D5" s="10" t="str">
        <x:v>A 官方数据</x:v>
      </x:c>
    </x:row>
    <x:row r="6" ht="26" customHeight="1">
      <x:c r="A6" s="10" t="str">
        <x:v>房租（城市级）</x:v>
      </x:c>
      <x:c r="B6" s="10" t="str">
        <x:v>中国房价行情网 城市房租排行（近 3 个月）</x:v>
      </x:c>
      <x:c r="C6" s="10" t="str">
        <x:v>25 城，全国 323 城口径统一</x:v>
      </x:c>
      <x:c r="D6" s="10" t="str">
        <x:v>B 平台数据</x:v>
      </x:c>
    </x:row>
    <x:row r="7" ht="26" customHeight="1">
      <x:c r="A7" s="10" t="str">
        <x:v>房租（区县级）</x:v>
      </x:c>
      <x:c r="B7" s="10" t="str">
        <x:v>中国房价行情网 各城市房租页</x:v>
      </x:c>
      <x:c r="C7" s="10" t="str">
        <x:v>12 城 66 个区县</x:v>
      </x:c>
      <x:c r="D7" s="10" t="str">
        <x:v>B 平台数据</x:v>
      </x:c>
    </x:row>
    <x:row r="8" ht="26" customHeight="1">
      <x:c r="A8" s="10" t="str">
        <x:v>合租价格</x:v>
      </x:c>
      <x:c r="B8" s="10" t="str">
        <x:v>中国房价行情网 城市合租排行</x:v>
      </x:c>
      <x:c r="C8" s="10" t="str">
        <x:v>4 城实测（上海、杭州、南京、温州）</x:v>
      </x:c>
      <x:c r="D8" s="10" t="str">
        <x:v>B 平台数据</x:v>
      </x:c>
    </x:row>
    <x:row r="9" ht="26" customHeight="1">
      <x:c r="A9" s="10" t="str">
        <x:v>餐饮成本</x:v>
      </x:c>
      <x:c r="B9" s="10" t="str">
        <x:v>台州统计年鉴食品烟酒分项推算</x:v>
      </x:c>
      <x:c r="C9" s="10" t="str">
        <x:v>13 城官方分项 + 12 城按比值推算</x:v>
      </x:c>
      <x:c r="D9" s="10" t="str">
        <x:v>A/B 混合</x:v>
      </x:c>
    </x:row>
    <x:row r="10" ht="26" customHeight="1">
      <x:c r="A10" s="10" t="str">
        <x:v>工作条件（出差、双休、倒班）</x:v>
      </x:c>
      <x:c r="B10" s="10" t="str">
        <x:v>BOSS 直聘技能标签字段</x:v>
      </x:c>
      <x:c r="C10" s="10" t="str">
        <x:v>6197 条岗位的结构化标签</x:v>
      </x:c>
      <x:c r="D10" s="10" t="str">
        <x:v>B 平台数据</x:v>
      </x:c>
    </x:row>
    <x:row r="11" ht="26" customHeight="1">
      <x:c r="A11" s="10" t="str">
        <x:v>岗位描述文本</x:v>
      </x:c>
      <x:c r="B11" s="10" t="str">
        <x:v>BOSS 直聘职位详情页</x:v>
      </x:c>
      <x:c r="C11" s="10" t="str">
        <x:v>141 条 JD 全文</x:v>
      </x:c>
      <x:c r="D11" s="10" t="str">
        <x:v>B 平台数据</x:v>
      </x:c>
    </x:row>
    <x:row r="12" ht="26" customHeight="1">
      <x:c r="A12" s="10" t="str">
        <x:v>社保与个税</x:v>
      </x:c>
      <x:c r="B12" s="10" t="str">
        <x:v>江浙沪各市人社局、公积金中心公开规则</x:v>
      </x:c>
      <x:c r="C12" s="10" t="str">
        <x:v>全省适用</x:v>
      </x:c>
      <x:c r="D12" s="10" t="str">
        <x:v>A 官方规则</x:v>
      </x:c>
    </x:row>
    <x:row r="13" ht="26" customHeight="1">
      <x:c r="A13" s="10" t="str">
        <x:v>通勤票价</x:v>
      </x:c>
      <x:c r="B13" s="10" t="str">
        <x:v>各市地铁与公交公开计价规则</x:v>
      </x:c>
      <x:c r="C13" s="10" t="str">
        <x:v>25 城</x:v>
      </x:c>
      <x:c r="D13" s="10" t="str">
        <x:v>A 官方规则</x:v>
      </x:c>
    </x:row>
  </x:sheetData>
  <x:pageMargins left="0.7" right="0.7" top="0.75" bottom="0.75" header="0.3" footer="0.3"/>
</x:worksheet>
</file>