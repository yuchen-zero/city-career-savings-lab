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d833a61ca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摘要" sheetId="1" r:id="R932533b8ab484dda"/>
    <x:sheet xmlns:r="http://schemas.openxmlformats.org/officeDocument/2006/relationships" name="税费计算" sheetId="2" r:id="R3c524e1095414671"/>
    <x:sheet xmlns:r="http://schemas.openxmlformats.org/officeDocument/2006/relationships" name="住房预设" sheetId="3" r:id="R47d69274bb204ae7"/>
    <x:sheet xmlns:r="http://schemas.openxmlformats.org/officeDocument/2006/relationships" name="生活假设" sheetId="4" r:id="R1c7ec00be15c48ca"/>
    <x:sheet xmlns:r="http://schemas.openxmlformats.org/officeDocument/2006/relationships" name="净结余测算" sheetId="5" r:id="Rb2f317a32f574ca2"/>
    <x:sheet xmlns:r="http://schemas.openxmlformats.org/officeDocument/2006/relationships" name="首月资金" sheetId="6" r:id="Rbd230c314fc14fbb"/>
    <x:sheet xmlns:r="http://schemas.openxmlformats.org/officeDocument/2006/relationships" name="岗位明细" sheetId="7" r:id="Rd3231447bc244ce2"/>
    <x:sheet xmlns:r="http://schemas.openxmlformats.org/officeDocument/2006/relationships" name="岗位汇总" sheetId="8" r:id="Rfc3cddafb22c445b"/>
    <x:sheet xmlns:r="http://schemas.openxmlformats.org/officeDocument/2006/relationships" name="房租样本" sheetId="9" r:id="Rd6aa2b635d3f41d0"/>
    <x:sheet xmlns:r="http://schemas.openxmlformats.org/officeDocument/2006/relationships" name="官方规则" sheetId="10" r:id="Rde323edbc3c5471b"/>
    <x:sheet xmlns:r="http://schemas.openxmlformats.org/officeDocument/2006/relationships" name="生活成本" sheetId="11" r:id="R2fcfd8693bd44e10"/>
    <x:sheet xmlns:r="http://schemas.openxmlformats.org/officeDocument/2006/relationships" name="证据台账" sheetId="12" r:id="R7974f4ee889f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.00"/>
    <x:numFmt numFmtId="201" formatCode="0.0%"/>
    <x:numFmt numFmtId="202" formatCode="yyyy-mm-dd"/>
    <x:numFmt numFmtId="203" formatCode="#,##0"/>
  </x:numFmts>
  <x:fonts count="12">
    <x:font>
      <x:sz val="11"/>
      <x:name val="Carlito"/>
    </x:font>
    <x:font>
      <x:b/>
      <x:sz val="14"/>
      <x:color rgb="FF1F2937"/>
      <x:name val="Microsoft YaHei"/>
    </x:font>
    <x:font>
      <x:sz val="10"/>
      <x:color rgb="FF1F2937"/>
      <x:name val="Microsoft YaHei"/>
    </x:font>
    <x:font>
      <x:b/>
      <x:sz val="10"/>
      <x:color rgb="FF5B6573"/>
      <x:name val="Microsoft YaHei"/>
    </x:font>
    <x:font>
      <x:b/>
      <x:sz val="10"/>
      <x:color rgb="FF1F2937"/>
      <x:name val="Microsoft YaHei"/>
    </x:font>
    <x:font>
      <x:b/>
      <x:sz val="10"/>
      <x:color rgb="FFFFFFFF"/>
      <x:name val="Microsoft YaHei"/>
    </x:font>
    <x:font>
      <x:sz val="9.5"/>
      <x:color rgb="FF1F2937"/>
      <x:name val="Microsoft YaHei"/>
    </x:font>
    <x:font>
      <x:i/>
      <x:sz val="9"/>
      <x:color rgb="FF5B6573"/>
      <x:name val="Microsoft YaHei"/>
    </x:font>
    <x:font>
      <x:b/>
      <x:sz val="12"/>
      <x:color rgb="FF1F2937"/>
      <x:name val="Microsoft YaHei"/>
    </x:font>
    <x:font>
      <x:b/>
      <x:sz val="9.5"/>
      <x:color rgb="FF1F2937"/>
      <x:name val="Microsoft YaHei"/>
    </x:font>
    <x:font>
      <x:b/>
      <x:sz val="11"/>
      <x:color rgb="FF17365D"/>
      <x:name val="Microsoft YaHei"/>
    </x:font>
    <x:font>
      <x:sz val="9"/>
      <x:color rgb="FF1F293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  <x:diagonal/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201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2" fillId="5" borderId="1" xfId="0" applyNumberFormat="1" applyFont="1" applyFill="1" applyBorder="1"/>
    <x:xf numFmtId="201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20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0" fontId="0" fillId="7" borderId="1" xfId="0" applyNumberFormat="1" applyFont="1" applyFill="1" applyBorder="1"/>
    <x:xf numFmtId="200" fontId="9" fillId="7" borderId="1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200" fontId="6" fillId="6" borderId="1" xfId="0" applyNumberFormat="1" applyFont="1" applyFill="1" applyBorder="1"/>
    <x:xf numFmtId="200" fontId="4" fillId="6" borderId="1" xfId="0" applyNumberFormat="1" applyFont="1" applyFill="1" applyBorder="1"/>
    <x:xf numFmtId="0" fontId="10" fillId="0" borderId="0" xfId="0" applyNumberFormat="1" applyFont="1" applyFill="1" applyBorder="1"/>
    <x:xf numFmtId="201" fontId="0" fillId="3" borderId="1" xfId="0" applyNumberFormat="1" applyFont="1" applyFill="1" applyBorder="1"/>
    <x:xf numFmtId="201" fontId="0" fillId="4" borderId="1" xfId="0" applyNumberFormat="1" applyFont="1" applyFill="1" applyBorder="1"/>
    <x:xf numFmtId="200" fontId="9" fillId="3" borderId="1" xfId="0" applyNumberFormat="1" applyFont="1" applyFill="1" applyBorder="1"/>
    <x:xf numFmtId="200" fontId="9" fillId="4" borderId="1" xfId="0" applyNumberFormat="1" applyFont="1" applyFill="1" applyBorder="1"/>
    <x:xf numFmtId="202" fontId="6" fillId="3" borderId="1" xfId="0" applyNumberFormat="1" applyFont="1" applyFill="1" applyBorder="1" applyAlignment="1">
      <x:alignment vertical="center" wrapText="1"/>
    </x:xf>
    <x:xf numFmtId="202" fontId="6" fillId="4" borderId="1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 wrapText="1"/>
    </x:xf>
    <x:xf numFmtId="202" fontId="11" fillId="3" borderId="1" xfId="0" applyNumberFormat="1" applyFont="1" applyFill="1" applyBorder="1" applyAlignment="1">
      <x:alignment vertical="center" wrapText="1"/>
    </x:xf>
    <x:xf numFmtId="200" fontId="11" fillId="3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202" fontId="11" fillId="4" borderId="1" xfId="0" applyNumberFormat="1" applyFont="1" applyFill="1" applyBorder="1" applyAlignment="1">
      <x:alignment vertical="center" wrapText="1"/>
    </x:xf>
    <x:xf numFmtId="200" fontId="11" fillId="4" borderId="1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203" fontId="6" fillId="3" borderId="1" xfId="0" applyNumberFormat="1" applyFont="1" applyFill="1" applyBorder="1" applyAlignment="1">
      <x:alignment vertical="center" wrapText="1"/>
    </x:xf>
    <x:xf numFmtId="203" fontId="6" fillId="4" borderId="1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abb2b75394656" /><Relationship Type="http://schemas.openxmlformats.org/officeDocument/2006/relationships/theme" Target="/xl/theme/theme1.xml" Id="R18166d669b1b47f5" /><Relationship Type="http://schemas.openxmlformats.org/officeDocument/2006/relationships/sharedStrings" Target="/xl/sharedStrings.xml" Id="R6b3cc0c8a2b34148" /><Relationship Type="http://schemas.openxmlformats.org/officeDocument/2006/relationships/worksheet" Target="/xl/worksheets/sheet1.xml" Id="R932533b8ab484dda" /><Relationship Type="http://schemas.openxmlformats.org/officeDocument/2006/relationships/worksheet" Target="/xl/worksheets/sheet2.xml" Id="R3c524e1095414671" /><Relationship Type="http://schemas.openxmlformats.org/officeDocument/2006/relationships/worksheet" Target="/xl/worksheets/sheet3.xml" Id="R47d69274bb204ae7" /><Relationship Type="http://schemas.openxmlformats.org/officeDocument/2006/relationships/worksheet" Target="/xl/worksheets/sheet4.xml" Id="R1c7ec00be15c48ca" /><Relationship Type="http://schemas.openxmlformats.org/officeDocument/2006/relationships/worksheet" Target="/xl/worksheets/sheet5.xml" Id="Rb2f317a32f574ca2" /><Relationship Type="http://schemas.openxmlformats.org/officeDocument/2006/relationships/worksheet" Target="/xl/worksheets/sheet6.xml" Id="Rbd230c314fc14fbb" /><Relationship Type="http://schemas.openxmlformats.org/officeDocument/2006/relationships/worksheet" Target="/xl/worksheets/sheet7.xml" Id="Rd3231447bc244ce2" /><Relationship Type="http://schemas.openxmlformats.org/officeDocument/2006/relationships/worksheet" Target="/xl/worksheets/sheet8.xml" Id="Rfc3cddafb22c445b" /><Relationship Type="http://schemas.openxmlformats.org/officeDocument/2006/relationships/worksheet" Target="/xl/worksheets/sheet9.xml" Id="Rd6aa2b635d3f41d0" /><Relationship Type="http://schemas.openxmlformats.org/officeDocument/2006/relationships/worksheet" Target="/xl/worksheets/sheet10.xml" Id="Rde323edbc3c5471b" /><Relationship Type="http://schemas.openxmlformats.org/officeDocument/2006/relationships/worksheet" Target="/xl/worksheets/sheet11.xml" Id="R2fcfd8693bd44e10" /><Relationship Type="http://schemas.openxmlformats.org/officeDocument/2006/relationships/worksheet" Target="/xl/worksheets/sheet12.xml" Id="R7974f4ee889f4b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1bcd16d94042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当前工资下五种住房情景的月净结余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'净结余测算'!$A$8:$A$12</c:f>
              <c:strCache>
                <c:ptCount val="0"/>
              </c:strCache>
            </c:strRef>
          </c:cat>
          <c:val>
            <c:numRef>
              <c:f>'净结余测算'!$N$8:$N$12</c:f>
              <c:numCache>
                <c:formatCode>"¥"#,##0.00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¥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17</xdr:row>
      <xdr:rowOff>0</xdr:rowOff>
    </xdr:from>
    <xdr:to>
      <xdr:col>30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1bcd16d94042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be2e3a8785d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" hidden="0" customWidth="1"/>
    <x:col min="4" max="4" width="22" hidden="0" customWidth="1"/>
    <x:col min="5" max="5" width="22" hidden="0" customWidth="1"/>
    <x:col min="6" max="6" width="22" hidden="0" customWidth="1"/>
  </x:cols>
  <x:sheetData>
    <x:row r="2" ht="28" customHeight="1">
      <x:c r="A2" s="3" t="str">
        <x:v>2027届电气工程及其自动化本科应届生临港调研结论摘要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8" t="str">
        <x:v>研究范围</x:v>
      </x:c>
      <x:c r="B4" s="7" t="str">
        <x:v>上海市浦东新区临港新片区，重点滴水湖与南汇新城核心区</x:v>
      </x:c>
    </x:row>
    <x:row r="5">
      <x:c r="A5" s="8" t="str">
        <x:v>数据截止日</x:v>
      </x:c>
      <x:c r="B5" s="7" t="str">
        <x:v>2026-10-26</x:v>
      </x:c>
    </x:row>
    <x:row r="6">
      <x:c r="A6" s="8" t="str">
        <x:v>数据版本</x:v>
      </x:c>
      <x:c r="B6" s="7" t="str">
        <x:v>2027EE-LG-20261026-v1</x:v>
      </x:c>
    </x:row>
    <x:row r="7">
      <x:c r="A7" s="8" t="str">
        <x:v>数据指纹</x:v>
      </x:c>
      <x:c r="B7" s="7" t="str">
        <x:v>ab4ef7f5cd838a87</x:v>
      </x:c>
    </x:row>
    <x:row r="9" ht="30" customHeight="1">
      <x:c r="A9" s="10" t="str">
        <x:v>核心判断</x:v>
      </x:c>
      <x:c r="B9" s="11" t="str">
        <x:v>当前可核验的2027届本科相邻岗位为6条、3家企业，公开薪资、明确双休、明确不出差均为0条；不能用8千至1.5万元压力测试冒充真实应届工资。</x:v>
      </x:c>
      <x:c r="C9" s="10"/>
      <x:c r="D9" s="10"/>
      <x:c r="E9" s="10"/>
      <x:c r="F9" s="10"/>
      <x:c r="G9" s="10"/>
      <x:c r="H9" s="10"/>
      <x:c r="I9" s="10"/>
      <x:c r="J9" s="10"/>
    </x:row>
    <x:row r="11" ht="32" customHeight="1">
      <x:c r="A11" s="21" t="str">
        <x:v>关键指标</x:v>
      </x:c>
      <x:c r="B11" s="21" t="str">
        <x:v>当前结果</x:v>
      </x:c>
    </x:row>
    <x:row r="12">
      <x:c r="A12" s="22" t="str">
        <x:v>有效岗位 / 企业</x:v>
      </x:c>
      <x:c r="B12" s="22" t="str">
        <x:f>COUNTIF('岗位明细'!$R$6:$R$24,"yes")&amp;" 条 / 3 家企业"</x:f>
        <x:v>6 条 / 3 家企业</x:v>
      </x:c>
    </x:row>
    <x:row r="13">
      <x:c r="A13" s="23" t="str">
        <x:v>公开薪资岗位</x:v>
      </x:c>
      <x:c r="B13" s="23" t="n">
        <x:f>COUNTIFS('岗位明细'!$R$6:$R$24,"yes",'岗位明细'!$AA$6:$AA$24,1)</x:f>
        <x:v>0</x:v>
      </x:c>
    </x:row>
    <x:row r="14">
      <x:c r="A14" s="22" t="str">
        <x:v>明确双休</x:v>
      </x:c>
      <x:c r="B14" s="22" t="n">
        <x:f>COUNTIFS('岗位明细'!$R$6:$R$24,"yes",'岗位明细'!$U$6:$U$24,"double")</x:f>
        <x:v>0</x:v>
      </x:c>
    </x:row>
    <x:row r="15">
      <x:c r="A15" s="23" t="str">
        <x:v>明确不出差</x:v>
      </x:c>
      <x:c r="B15" s="23" t="n">
        <x:f>COUNTIFS('岗位明细'!$R$6:$R$24,"yes",'岗位明细'!$V$6:$V$24,"none")</x:f>
        <x:v>0</x:v>
      </x:c>
    </x:row>
    <x:row r="16">
      <x:c r="A16" s="22" t="str">
        <x:v>同时满足公开薪资+双休+不出差</x:v>
      </x:c>
      <x:c r="B16" s="22" t="n">
        <x:f>COUNTIFS('岗位明细'!$R$6:$R$24,"yes",'岗位明细'!$AA$6:$AA$24,1,'岗位明细'!$U$6:$U$24,"double",'岗位明细'!$V$6:$V$24,"none")</x:f>
        <x:v>0</x:v>
      </x:c>
    </x:row>
    <x:row r="17">
      <x:c r="A17" s="23" t="str">
        <x:v>当前税前月薪输入</x:v>
      </x:c>
      <x:c r="B17" s="24" t="n">
        <x:f>'税费计算'!$B$8</x:f>
        <x:v>10000</x:v>
      </x:c>
    </x:row>
    <x:row r="18">
      <x:c r="A18" s="22" t="str">
        <x:v>月均到手现金</x:v>
      </x:c>
      <x:c r="B18" s="25" t="n">
        <x:f>'税费计算'!$B$29</x:f>
        <x:v>8197.5</x:v>
      </x:c>
    </x:row>
    <x:row r="19">
      <x:c r="A19" s="23" t="str">
        <x:v>当前住房情景</x:v>
      </x:c>
      <x:c r="B19" s="23" t="n">
        <x:f>'住房预设'!$B$3</x:f>
        <x:v>2</x:v>
      </x:c>
    </x:row>
    <x:row r="20">
      <x:c r="A20" s="22" t="str">
        <x:v>月净结余（纯现金）</x:v>
      </x:c>
      <x:c r="B20" s="25" t="n">
        <x:f>'净结余测算'!$N$4</x:f>
        <x:v>4153.683333333333</x:v>
      </x:c>
    </x:row>
    <x:row r="21">
      <x:c r="A21" s="23" t="str">
        <x:v>月净结余（含个人公积金）</x:v>
      </x:c>
      <x:c r="B21" s="24" t="n">
        <x:f>'净结余测算'!$O$4</x:f>
        <x:v>4853.683333333333</x:v>
      </x:c>
    </x:row>
    <x:row r="22">
      <x:c r="A22" s="22" t="str">
        <x:v>房租收入比</x:v>
      </x:c>
      <x:c r="B22" s="26" t="n">
        <x:f>'净结余测算'!$P$4</x:f>
        <x:v>0.13</x:v>
      </x:c>
    </x:row>
    <x:row r="23">
      <x:c r="A23" s="23" t="str">
        <x:v>首月最低现金</x:v>
      </x:c>
      <x:c r="B23" s="24" t="n">
        <x:f>'净结余测算'!$Q$4</x:f>
        <x:v>8360.9</x:v>
      </x:c>
    </x:row>
    <x:row r="24">
      <x:c r="A24" s="22" t="str">
        <x:v>建议储备（含2,000元缓冲）</x:v>
      </x:c>
      <x:c r="B24" s="25" t="n">
        <x:f>'净结余测算'!$R$4</x:f>
        <x:v>10360.9</x:v>
      </x:c>
    </x:row>
    <x:row r="26" ht="86" customHeight="1">
      <x:c r="D26" s="29" t="str">
        <x:v>证据等级：岗位与租金为C级小样本；官方社保、公积金和统计规则为A级。房租是挂牌/展示价，不是成交价。</x:v>
      </x:c>
    </x:row>
    <x:row r="29" ht="90" customHeight="1">
      <x:c r="D29" s="29" t="str">
        <x:v>结论何时不成立：若获得更多目标岗位、真实工资单、双休与出差筛选结果，或租金成交数据，当前观察会改变。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22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7" hidden="0" customWidth="1"/>
    <x:col min="11" max="11" width="2" hidden="0" customWidth="1"/>
    <x:col min="12" max="12" width="48" hidden="0" customWidth="1"/>
  </x:cols>
  <x:sheetData>
    <x:row r="2" ht="28" customHeight="1">
      <x:c r="A2" s="3" t="str">
        <x:v>税前工资、上海社保公积金与个人所得税测算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8" t="str">
        <x:v>数据截止日</x:v>
      </x:c>
      <x:c r="B4" s="7" t="str">
        <x:v>2026-10-26</x:v>
      </x:c>
    </x:row>
    <x:row r="5">
      <x:c r="A5" s="8" t="str">
        <x:v>规则口径</x:v>
      </x:c>
      <x:c r="B5" s="7" t="str">
        <x:v>2026年上海社保、公积金与居民综合所得年度税率</x:v>
      </x:c>
    </x:row>
    <x:row r="7" ht="32" customHeight="1">
      <x:c r="A7" s="21" t="str">
        <x:v>可编辑输入</x:v>
      </x:c>
      <x:c r="B7" s="21" t="str">
        <x:v>当前值</x:v>
      </x:c>
      <x:c r="D7" s="21" t="str">
        <x:v>官方规则参数</x:v>
      </x:c>
      <x:c r="E7" s="21" t="str">
        <x:v>当前值</x:v>
      </x:c>
    </x:row>
    <x:row r="8">
      <x:c r="A8" s="30" t="str">
        <x:v>税前固定月薪</x:v>
      </x:c>
      <x:c r="B8" s="32" t="n">
        <x:v>10000</x:v>
      </x:c>
      <x:c r="D8" s="30" t="str">
        <x:v>社保基数下限</x:v>
      </x:c>
      <x:c r="E8" s="38" t="n">
        <x:v>7546</x:v>
      </x:c>
    </x:row>
    <x:row r="9">
      <x:c r="A9" s="30" t="str">
        <x:v>年发月数</x:v>
      </x:c>
      <x:c r="B9" s="34" t="n">
        <x:v>12</x:v>
      </x:c>
      <x:c r="D9" s="30" t="str">
        <x:v>社保基数上限</x:v>
      </x:c>
      <x:c r="E9" s="38" t="n">
        <x:v>37731</x:v>
      </x:c>
    </x:row>
    <x:row r="10">
      <x:c r="A10" s="30" t="str">
        <x:v>个人公积金比例</x:v>
      </x:c>
      <x:c r="B10" s="35" t="n">
        <x:v>0.07</x:v>
      </x:c>
      <x:c r="D10" s="30" t="str">
        <x:v>公积金基数下限</x:v>
      </x:c>
      <x:c r="E10" s="38" t="n">
        <x:v>2740</x:v>
      </x:c>
    </x:row>
    <x:row r="11">
      <x:c r="A11" s="30" t="str">
        <x:v>租房专项附加扣除（月）</x:v>
      </x:c>
      <x:c r="B11" s="36" t="n">
        <x:v>1500</x:v>
      </x:c>
      <x:c r="D11" s="30" t="str">
        <x:v>公积金基数上限</x:v>
      </x:c>
      <x:c r="E11" s="38" t="n">
        <x:v>37731</x:v>
      </x:c>
    </x:row>
    <x:row r="12">
      <x:c r="A12" s="30" t="str">
        <x:v>租期（月）</x:v>
      </x:c>
      <x:c r="B12" s="34" t="n">
        <x:v>12</x:v>
      </x:c>
      <x:c r="D12" s="30" t="str">
        <x:v>个人社保比例</x:v>
      </x:c>
      <x:c r="E12" s="39" t="n">
        <x:v>0.105</x:v>
      </x:c>
    </x:row>
    <x:row r="13">
      <x:c r="D13" s="30" t="str">
        <x:v>年度基本减除费用</x:v>
      </x:c>
      <x:c r="E13" s="38" t="n">
        <x:v>60000</x:v>
      </x:c>
    </x:row>
    <x:row r="14">
      <x:c r="D14" s="30" t="str">
        <x:v>税率表</x:v>
      </x:c>
      <x:c r="E14" s="40" t="str">
        <x:v>居民综合所得年度税率表</x:v>
      </x:c>
    </x:row>
    <x:row r="15">
      <x:c r="D15" s="30" t="str">
        <x:v>口径说明</x:v>
      </x:c>
      <x:c r="E15" s="40" t="str">
        <x:v>不含补充公积金、单位公积金和未申报专项扣除</x:v>
      </x:c>
    </x:row>
    <x:row r="17" ht="76" customHeight="1">
      <x:c r="L17" s="29" t="str">
        <x:v>计算顺序固定：先以固定月薪计算年度收入，再比较基数上下限。绩效、奖金、单位公积金和补充公积金未计；实际工资单需以HR口径覆盖。</x:v>
      </x:c>
    </x:row>
    <x:row r="18" ht="32" customHeight="1">
      <x:c r="A18" s="21" t="str">
        <x:v>计算步骤</x:v>
      </x:c>
      <x:c r="B18" s="41" t="str">
        <x:v>结果</x:v>
      </x:c>
    </x:row>
    <x:row r="19">
      <x:c r="A19" s="22" t="str">
        <x:v>社保缴费基数</x:v>
      </x:c>
      <x:c r="B19" s="42" t="n">
        <x:f>MIN(MAX(B8,$E$8),$E$9)</x:f>
        <x:v>10000</x:v>
      </x:c>
    </x:row>
    <x:row r="20">
      <x:c r="A20" s="23" t="str">
        <x:v>公积金缴费基数</x:v>
      </x:c>
      <x:c r="B20" s="42" t="n">
        <x:f>MIN(MAX(B8,$E$10),$E$11)</x:f>
        <x:v>10000</x:v>
      </x:c>
    </x:row>
    <x:row r="21">
      <x:c r="A21" s="22" t="str">
        <x:v>个人社保月扣款</x:v>
      </x:c>
      <x:c r="B21" s="42" t="n">
        <x:f>B19*$E$12</x:f>
        <x:v>1050</x:v>
      </x:c>
    </x:row>
    <x:row r="22">
      <x:c r="A22" s="23" t="str">
        <x:v>个人公积金月缴额</x:v>
      </x:c>
      <x:c r="B22" s="42" t="n">
        <x:f>B20*B10</x:f>
        <x:v>700.0000000000001</x:v>
      </x:c>
    </x:row>
    <x:row r="23">
      <x:c r="A23" s="22" t="str">
        <x:v>年度税前收入</x:v>
      </x:c>
      <x:c r="B23" s="42" t="n">
        <x:f>B8*B9</x:f>
        <x:v>120000</x:v>
      </x:c>
    </x:row>
    <x:row r="24">
      <x:c r="A24" s="23" t="str">
        <x:v>年度个人社保</x:v>
      </x:c>
      <x:c r="B24" s="42" t="n">
        <x:f>B21*12</x:f>
        <x:v>12600</x:v>
      </x:c>
    </x:row>
    <x:row r="25">
      <x:c r="A25" s="22" t="str">
        <x:v>年度个人公积金</x:v>
      </x:c>
      <x:c r="B25" s="42" t="n">
        <x:f>B22*12</x:f>
        <x:v>8400.000000000002</x:v>
      </x:c>
    </x:row>
    <x:row r="26">
      <x:c r="A26" s="23" t="str">
        <x:v>年度应纳税所得额</x:v>
      </x:c>
      <x:c r="B26" s="42" t="n">
        <x:f>MAX(0,B23-B24-B25-$E$13-B11*12)</x:f>
        <x:v>21000</x:v>
      </x:c>
    </x:row>
    <x:row r="27">
      <x:c r="A27" s="22" t="str">
        <x:v>年度个人所得税</x:v>
      </x:c>
      <x:c r="B27" s="42" t="n">
        <x:f>IF(B26&lt;=36000,B26*0.03,IF(B26&lt;=144000,B26*0.1-2520,IF(B26&lt;=300000,B26*0.2-16920,IF(B26&lt;=420000,B26*0.25-31920,IF(B26&lt;=660000,B26*0.3-52920,IF(B26&lt;=960000,B26*0.35-85920,B26*0.45-181920))))))</x:f>
        <x:v>630</x:v>
      </x:c>
    </x:row>
    <x:row r="28">
      <x:c r="A28" s="23" t="str">
        <x:v>年度现金收入</x:v>
      </x:c>
      <x:c r="B28" s="42" t="n">
        <x:f>B23-B24-B25-B27</x:f>
        <x:v>98370</x:v>
      </x:c>
    </x:row>
    <x:row r="29">
      <x:c r="A29" s="22" t="str">
        <x:v>月均到手现金</x:v>
      </x:c>
      <x:c r="B29" s="42" t="n">
        <x:f>B28/12</x:f>
        <x:v>8197.5</x:v>
      </x:c>
    </x:row>
    <x:row r="31" ht="32" customHeight="1">
      <x:c r="A31" s="21" t="str">
        <x:v>税前月薪</x:v>
      </x:c>
      <x:c r="B31" s="21" t="str">
        <x:v>年发月数</x:v>
      </x:c>
      <x:c r="C31" s="21" t="str">
        <x:v>社保基数</x:v>
      </x:c>
      <x:c r="D31" s="21" t="str">
        <x:v>公积金基数</x:v>
      </x:c>
      <x:c r="E31" s="21" t="str">
        <x:v>个人社保/月</x:v>
      </x:c>
      <x:c r="F31" s="21" t="str">
        <x:v>个人公积金/月</x:v>
      </x:c>
      <x:c r="G31" s="21" t="str">
        <x:v>年税前</x:v>
      </x:c>
      <x:c r="H31" s="21" t="str">
        <x:v>年应税所得</x:v>
      </x:c>
      <x:c r="I31" s="21" t="str">
        <x:v>年个税</x:v>
      </x:c>
      <x:c r="J31" s="21" t="str">
        <x:v>月均到手现金</x:v>
      </x:c>
    </x:row>
    <x:row r="32">
      <x:c r="A32" s="43" t="n">
        <x:v>8000</x:v>
      </x:c>
      <x:c r="B32" s="30" t="n">
        <x:v>12</x:v>
      </x:c>
      <x:c r="C32" s="43" t="n">
        <x:f>MIN(MAX(A32,$E$8),$E$9)</x:f>
        <x:v>8000</x:v>
      </x:c>
      <x:c r="D32" s="43" t="n">
        <x:f>MIN(MAX(A32,$E$10),$E$11)</x:f>
        <x:v>8000</x:v>
      </x:c>
      <x:c r="E32" s="43" t="n">
        <x:f>C32*$E$12</x:f>
        <x:v>840</x:v>
      </x:c>
      <x:c r="F32" s="43" t="n">
        <x:f>D32*$B$10</x:f>
        <x:v>560</x:v>
      </x:c>
      <x:c r="G32" s="43" t="n">
        <x:f>A32*B32</x:f>
        <x:v>96000</x:v>
      </x:c>
      <x:c r="H32" s="43" t="n">
        <x:f>MAX(0,G32-E32*12-F32*12-$E$13-$B$11*12)</x:f>
        <x:v>1200</x:v>
      </x:c>
      <x:c r="I32" s="43" t="n">
        <x:f>IF(H32&lt;=36000,H32*0.03,IF(H32&lt;=144000,H32*0.1-2520,IF(H32&lt;=300000,H32*0.2-16920,IF(H32&lt;=420000,H32*0.25-31920,IF(H32&lt;=660000,H32*0.3-52920,IF(H32&lt;=960000,H32*0.35-85920,H32*0.45-181920))))))</x:f>
        <x:v>36</x:v>
      </x:c>
      <x:c r="J32" s="43" t="n">
        <x:f>(G32-E32*12-F32*12-I32)/12</x:f>
        <x:v>6597</x:v>
      </x:c>
    </x:row>
    <x:row r="33">
      <x:c r="A33" s="43" t="n">
        <x:v>10000</x:v>
      </x:c>
      <x:c r="B33" s="30" t="n">
        <x:v>12</x:v>
      </x:c>
      <x:c r="C33" s="43" t="n">
        <x:f>MIN(MAX(A33,$E$8),$E$9)</x:f>
        <x:v>10000</x:v>
      </x:c>
      <x:c r="D33" s="43" t="n">
        <x:f>MIN(MAX(A33,$E$10),$E$11)</x:f>
        <x:v>10000</x:v>
      </x:c>
      <x:c r="E33" s="43" t="n">
        <x:f>C33*$E$12</x:f>
        <x:v>1050</x:v>
      </x:c>
      <x:c r="F33" s="43" t="n">
        <x:f>D33*$B$10</x:f>
        <x:v>700.0000000000001</x:v>
      </x:c>
      <x:c r="G33" s="43" t="n">
        <x:f>A33*B33</x:f>
        <x:v>120000</x:v>
      </x:c>
      <x:c r="H33" s="43" t="n">
        <x:f>MAX(0,G33-E33*12-F33*12-$E$13-$B$11*12)</x:f>
        <x:v>21000</x:v>
      </x:c>
      <x:c r="I33" s="43" t="n">
        <x:f>IF(H33&lt;=36000,H33*0.03,IF(H33&lt;=144000,H33*0.1-2520,IF(H33&lt;=300000,H33*0.2-16920,IF(H33&lt;=420000,H33*0.25-31920,IF(H33&lt;=660000,H33*0.3-52920,IF(H33&lt;=960000,H33*0.35-85920,H33*0.45-181920))))))</x:f>
        <x:v>630</x:v>
      </x:c>
      <x:c r="J33" s="43" t="n">
        <x:f>(G33-E33*12-F33*12-I33)/12</x:f>
        <x:v>8197.5</x:v>
      </x:c>
    </x:row>
    <x:row r="34">
      <x:c r="A34" s="43" t="n">
        <x:v>12000</x:v>
      </x:c>
      <x:c r="B34" s="30" t="n">
        <x:v>12</x:v>
      </x:c>
      <x:c r="C34" s="43" t="n">
        <x:f>MIN(MAX(A34,$E$8),$E$9)</x:f>
        <x:v>12000</x:v>
      </x:c>
      <x:c r="D34" s="43" t="n">
        <x:f>MIN(MAX(A34,$E$10),$E$11)</x:f>
        <x:v>12000</x:v>
      </x:c>
      <x:c r="E34" s="43" t="n">
        <x:f>C34*$E$12</x:f>
        <x:v>1260</x:v>
      </x:c>
      <x:c r="F34" s="43" t="n">
        <x:f>D34*$B$10</x:f>
        <x:v>840.0000000000001</x:v>
      </x:c>
      <x:c r="G34" s="43" t="n">
        <x:f>A34*B34</x:f>
        <x:v>144000</x:v>
      </x:c>
      <x:c r="H34" s="43" t="n">
        <x:f>MAX(0,G34-E34*12-F34*12-$E$13-$B$11*12)</x:f>
        <x:v>40800</x:v>
      </x:c>
      <x:c r="I34" s="43" t="n">
        <x:f>IF(H34&lt;=36000,H34*0.03,IF(H34&lt;=144000,H34*0.1-2520,IF(H34&lt;=300000,H34*0.2-16920,IF(H34&lt;=420000,H34*0.25-31920,IF(H34&lt;=660000,H34*0.3-52920,IF(H34&lt;=960000,H34*0.35-85920,H34*0.45-181920))))))</x:f>
        <x:v>1560</x:v>
      </x:c>
      <x:c r="J34" s="43" t="n">
        <x:f>(G34-E34*12-F34*12-I34)/12</x:f>
        <x:v>9770</x:v>
      </x:c>
    </x:row>
    <x:row r="35">
      <x:c r="A35" s="43" t="n">
        <x:v>15000</x:v>
      </x:c>
      <x:c r="B35" s="30" t="n">
        <x:v>12</x:v>
      </x:c>
      <x:c r="C35" s="43" t="n">
        <x:f>MIN(MAX(A35,$E$8),$E$9)</x:f>
        <x:v>15000</x:v>
      </x:c>
      <x:c r="D35" s="43" t="n">
        <x:f>MIN(MAX(A35,$E$10),$E$11)</x:f>
        <x:v>15000</x:v>
      </x:c>
      <x:c r="E35" s="43" t="n">
        <x:f>C35*$E$12</x:f>
        <x:v>1575</x:v>
      </x:c>
      <x:c r="F35" s="43" t="n">
        <x:f>D35*$B$10</x:f>
        <x:v>1050</x:v>
      </x:c>
      <x:c r="G35" s="43" t="n">
        <x:f>A35*B35</x:f>
        <x:v>180000</x:v>
      </x:c>
      <x:c r="H35" s="43" t="n">
        <x:f>MAX(0,G35-E35*12-F35*12-$E$13-$B$11*12)</x:f>
        <x:v>70500</x:v>
      </x:c>
      <x:c r="I35" s="43" t="n">
        <x:f>IF(H35&lt;=36000,H35*0.03,IF(H35&lt;=144000,H35*0.1-2520,IF(H35&lt;=300000,H35*0.2-16920,IF(H35&lt;=420000,H35*0.25-31920,IF(H35&lt;=660000,H35*0.3-52920,IF(H35&lt;=960000,H35*0.35-85920,H35*0.45-181920))))))</x:f>
        <x:v>4530</x:v>
      </x:c>
      <x:c r="J35" s="43" t="n">
        <x:f>(G35-E35*12-F35*12-I35)/12</x:f>
        <x:v>11997.5</x:v>
      </x:c>
    </x:row>
    <x:row r="37" ht="62" customHeight="1">
      <x:c r="L37" s="29" t="str">
        <x:v>8千、1万、1.2万和1.5万元只是压力测试输入，不是2027目标岗位的观测工资。</x:v>
      </x:c>
    </x:row>
  </x:sheetData>
  <x:dataValidations count="2">
    <x:dataValidation type="list" sqref="B9">
      <x:formula1>"12,13,16"</x:formula1>
    </x:dataValidation>
    <x:dataValidation type="list" sqref="B10">
      <x:formula1>"5%,7%"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1" hidden="0" customWidth="1"/>
    <x:col min="4" max="4" width="11" hidden="0" customWidth="1"/>
    <x:col min="5" max="5" width="12" hidden="0" customWidth="1"/>
    <x:col min="6" max="6" width="13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54" hidden="0" customWidth="1"/>
    <x:col min="15" max="15" width="2" hidden="0" customWidth="1"/>
    <x:col min="16" max="16" width="52" hidden="0" customWidth="1"/>
  </x:cols>
  <x:sheetData>
    <x:row r="2" ht="28" customHeight="1">
      <x:c r="A2" s="3" t="str">
        <x:v>住房、押付与渠道费的五个可比情景</x:v>
      </x:c>
    </x:row>
    <x:row r="3" ht="30" customHeight="1">
      <x:c r="A3" s="47" t="str">
        <x:v>当前情景选择（1-5）</x:v>
      </x:c>
      <x:c r="B3" s="51" t="n">
        <x:v>2</x:v>
      </x:c>
      <x:c r="C3" s="48"/>
      <x:c r="D3" s="48" t="str">
        <x:v>当前情景名称</x:v>
      </x:c>
      <x:c r="E3" s="48" t="str">
        <x:f>INDEX(A6:A10,B3)</x:f>
        <x:v>2 合租-中介押一付三</x:v>
      </x:c>
      <x:c r="F3" s="48"/>
      <x:c r="G3" s="48"/>
      <x:c r="H3" s="48"/>
      <x:c r="I3" s="48"/>
      <x:c r="J3" s="48"/>
      <x:c r="K3" s="48"/>
      <x:c r="L3" s="48"/>
      <x:c r="M3" s="48"/>
      <x:c r="N3" s="48"/>
    </x:row>
    <x:row r="5" ht="32" customHeight="1">
      <x:c r="A5" s="21" t="str">
        <x:v>情景</x:v>
      </x:c>
      <x:c r="B5" s="21" t="str">
        <x:v>月租</x:v>
      </x:c>
      <x:c r="C5" s="21" t="str">
        <x:v>押金月数</x:v>
      </x:c>
      <x:c r="D5" s="21" t="str">
        <x:v>预付月数</x:v>
      </x:c>
      <x:c r="E5" s="21" t="str">
        <x:v>中介费月数</x:v>
      </x:c>
      <x:c r="F5" s="21" t="str">
        <x:v>月度服务费</x:v>
      </x:c>
      <x:c r="G5" s="21" t="str">
        <x:v>一次性服务费</x:v>
      </x:c>
      <x:c r="H5" s="21" t="str">
        <x:v>水费/月</x:v>
      </x:c>
      <x:c r="I5" s="21" t="str">
        <x:v>电费/月</x:v>
      </x:c>
      <x:c r="J5" s="21" t="str">
        <x:v>燃气/月</x:v>
      </x:c>
      <x:c r="K5" s="21" t="str">
        <x:v>网络/月</x:v>
      </x:c>
      <x:c r="L5" s="21" t="str">
        <x:v>通勤/月</x:v>
      </x:c>
      <x:c r="M5" s="21" t="str">
        <x:v>住房证据</x:v>
      </x:c>
      <x:c r="N5" s="21" t="str">
        <x:v>口径与备注</x:v>
      </x:c>
    </x:row>
    <x:row r="6">
      <x:c r="A6" s="22" t="str">
        <x:v>1 合租-直租</x:v>
      </x:c>
      <x:c r="B6" s="52" t="n">
        <x:v>1200</x:v>
      </x:c>
      <x:c r="C6" s="53" t="n">
        <x:v>1</x:v>
      </x:c>
      <x:c r="D6" s="53" t="n">
        <x:v>1</x:v>
      </x:c>
      <x:c r="E6" s="53" t="n">
        <x:v>0</x:v>
      </x:c>
      <x:c r="F6" s="52" t="n">
        <x:v>0</x:v>
      </x:c>
      <x:c r="G6" s="52" t="n">
        <x:v>0</x:v>
      </x:c>
      <x:c r="H6" s="25" t="n">
        <x:v>16.2</x:v>
      </x:c>
      <x:c r="I6" s="25" t="n">
        <x:v>61.7</x:v>
      </x:c>
      <x:c r="J6" s="25" t="n">
        <x:v>18</x:v>
      </x:c>
      <x:c r="K6" s="25" t="n">
        <x:v>50</x:v>
      </x:c>
      <x:c r="L6" s="25" t="n">
        <x:v>160</x:v>
      </x:c>
      <x:c r="M6" s="22" t="str">
        <x:v>C</x:v>
      </x:c>
      <x:c r="N6" s="22" t="str">
        <x:v>合租观察区间1,100至1,500元取1,200元；直租不计中介费。</x:v>
      </x:c>
    </x:row>
    <x:row r="7">
      <x:c r="A7" s="23" t="str">
        <x:v>2 合租-中介押一付三</x:v>
      </x:c>
      <x:c r="B7" s="52" t="n">
        <x:v>1300</x:v>
      </x:c>
      <x:c r="C7" s="53" t="n">
        <x:v>1</x:v>
      </x:c>
      <x:c r="D7" s="53" t="n">
        <x:v>3</x:v>
      </x:c>
      <x:c r="E7" s="53" t="n">
        <x:v>0.35</x:v>
      </x:c>
      <x:c r="F7" s="52" t="n">
        <x:v>0</x:v>
      </x:c>
      <x:c r="G7" s="52" t="n">
        <x:v>0</x:v>
      </x:c>
      <x:c r="H7" s="24" t="n">
        <x:v>16.2</x:v>
      </x:c>
      <x:c r="I7" s="24" t="n">
        <x:v>61.7</x:v>
      </x:c>
      <x:c r="J7" s="24" t="n">
        <x:v>18</x:v>
      </x:c>
      <x:c r="K7" s="24" t="n">
        <x:v>50</x:v>
      </x:c>
      <x:c r="L7" s="24" t="n">
        <x:v>160</x:v>
      </x:c>
      <x:c r="M7" s="23" t="str">
        <x:v>C</x:v>
      </x:c>
      <x:c r="N7" s="23" t="str">
        <x:v>合租上沿1,300元；押一付三并按0.35个月中介费做压力测试。</x:v>
      </x:c>
    </x:row>
    <x:row r="8">
      <x:c r="A8" s="22" t="str">
        <x:v>3 整租-直租</x:v>
      </x:c>
      <x:c r="B8" s="52" t="n">
        <x:v>2200</x:v>
      </x:c>
      <x:c r="C8" s="53" t="n">
        <x:v>1</x:v>
      </x:c>
      <x:c r="D8" s="53" t="n">
        <x:v>1</x:v>
      </x:c>
      <x:c r="E8" s="53" t="n">
        <x:v>0</x:v>
      </x:c>
      <x:c r="F8" s="52" t="n">
        <x:v>0</x:v>
      </x:c>
      <x:c r="G8" s="52" t="n">
        <x:v>0</x:v>
      </x:c>
      <x:c r="H8" s="25" t="n">
        <x:v>16.2</x:v>
      </x:c>
      <x:c r="I8" s="25" t="n">
        <x:v>74.04</x:v>
      </x:c>
      <x:c r="J8" s="25" t="n">
        <x:v>18</x:v>
      </x:c>
      <x:c r="K8" s="25" t="n">
        <x:v>100</x:v>
      </x:c>
      <x:c r="L8" s="25" t="n">
        <x:v>160</x:v>
      </x:c>
      <x:c r="M8" s="22" t="str">
        <x:v>C</x:v>
      </x:c>
      <x:c r="N8" s="22" t="str">
        <x:v>平台一室展示价约2,200元；直租不计中介费，不含物业与品牌服务费。</x:v>
      </x:c>
    </x:row>
    <x:row r="9">
      <x:c r="A9" s="23" t="str">
        <x:v>4 整租-中介押一付三</x:v>
      </x:c>
      <x:c r="B9" s="52" t="n">
        <x:v>2200</x:v>
      </x:c>
      <x:c r="C9" s="53" t="n">
        <x:v>1</x:v>
      </x:c>
      <x:c r="D9" s="53" t="n">
        <x:v>3</x:v>
      </x:c>
      <x:c r="E9" s="53" t="n">
        <x:v>0.35</x:v>
      </x:c>
      <x:c r="F9" s="52" t="n">
        <x:v>0</x:v>
      </x:c>
      <x:c r="G9" s="52" t="n">
        <x:v>0</x:v>
      </x:c>
      <x:c r="H9" s="24" t="n">
        <x:v>16.2</x:v>
      </x:c>
      <x:c r="I9" s="24" t="n">
        <x:v>74.04</x:v>
      </x:c>
      <x:c r="J9" s="24" t="n">
        <x:v>18</x:v>
      </x:c>
      <x:c r="K9" s="24" t="n">
        <x:v>100</x:v>
      </x:c>
      <x:c r="L9" s="24" t="n">
        <x:v>160</x:v>
      </x:c>
      <x:c r="M9" s="23" t="str">
        <x:v>C</x:v>
      </x:c>
      <x:c r="N9" s="23" t="str">
        <x:v>同一整租月租；押一付三和0.35个月中介费做敏感性。</x:v>
      </x:c>
    </x:row>
    <x:row r="10">
      <x:c r="A10" s="22" t="str">
        <x:v>5 人才公寓-条件情景</x:v>
      </x:c>
      <x:c r="B10" s="52" t="n">
        <x:v>1500</x:v>
      </x:c>
      <x:c r="C10" s="53" t="n">
        <x:v>1</x:v>
      </x:c>
      <x:c r="D10" s="53" t="n">
        <x:v>1</x:v>
      </x:c>
      <x:c r="E10" s="53" t="n">
        <x:v>0</x:v>
      </x:c>
      <x:c r="F10" s="52" t="n">
        <x:v>0</x:v>
      </x:c>
      <x:c r="G10" s="52" t="n">
        <x:v>0</x:v>
      </x:c>
      <x:c r="H10" s="25" t="n">
        <x:v>16.2</x:v>
      </x:c>
      <x:c r="I10" s="25" t="n">
        <x:v>74.04</x:v>
      </x:c>
      <x:c r="J10" s="25" t="n">
        <x:v>18</x:v>
      </x:c>
      <x:c r="K10" s="25" t="n">
        <x:v>100</x:v>
      </x:c>
      <x:c r="L10" s="25" t="n">
        <x:v>180</x:v>
      </x:c>
      <x:c r="M10" s="22" t="str">
        <x:v>A</x:v>
      </x:c>
      <x:c r="N10" s="22" t="str">
        <x:v>官方项目一居1,000至1,800元取1,500元；资格、清单和空房需审核。</x:v>
      </x:c>
    </x:row>
    <x:row r="11" ht="82" customHeight="1">
      <x:c r="P11" s="29" t="str">
        <x:v>这里列的是挂牌/展示和模型组合，不是成交合同。押一付三的预付租金=3个月；押金另计1个月。</x:v>
      </x:c>
    </x:row>
    <x:row r="13" ht="32" customHeight="1">
      <x:c r="A13" s="21" t="str">
        <x:v>当前选择拆解</x:v>
      </x:c>
      <x:c r="B13" s="21" t="str">
        <x:v>结果</x:v>
      </x:c>
    </x:row>
    <x:row r="14" ht="42" customHeight="1">
      <x:c r="A14" s="22" t="str">
        <x:v>当前情景名称</x:v>
      </x:c>
      <x:c r="B14" s="22" t="str">
        <x:f>INDEX($A$6:$A$10,$B$3)</x:f>
        <x:v>2 合租-中介押一付三</x:v>
      </x:c>
    </x:row>
    <x:row r="15" ht="22" customHeight="1">
      <x:c r="A15" s="23" t="str">
        <x:v>月租</x:v>
      </x:c>
      <x:c r="B15" s="24" t="n">
        <x:f>INDEX($B$6:$B$10,$B$3)</x:f>
        <x:v>1300</x:v>
      </x:c>
    </x:row>
    <x:row r="16" ht="22" customHeight="1">
      <x:c r="A16" s="22" t="str">
        <x:v>押金月数</x:v>
      </x:c>
      <x:c r="B16" s="25" t="n">
        <x:f>INDEX($C$6:$C$10,$B$3)</x:f>
        <x:v>1</x:v>
      </x:c>
    </x:row>
    <x:row r="17" ht="22" customHeight="1">
      <x:c r="A17" s="23" t="str">
        <x:v>预付租金月数</x:v>
      </x:c>
      <x:c r="B17" s="24" t="n">
        <x:f>INDEX($D$6:$D$10,$B$3)</x:f>
        <x:v>3</x:v>
      </x:c>
    </x:row>
    <x:row r="18" ht="22" customHeight="1">
      <x:c r="A18" s="22" t="str">
        <x:v>中介费月数</x:v>
      </x:c>
      <x:c r="B18" s="25" t="n">
        <x:f>INDEX($E$6:$E$10,$B$3)</x:f>
        <x:v>0.35</x:v>
      </x:c>
    </x:row>
    <x:row r="19" ht="22" customHeight="1">
      <x:c r="A19" s="23" t="str">
        <x:v>月度服务费</x:v>
      </x:c>
      <x:c r="B19" s="24" t="n">
        <x:f>INDEX($F$6:$F$10,$B$3)</x:f>
        <x:v>0</x:v>
      </x:c>
    </x:row>
    <x:row r="20" ht="22" customHeight="1">
      <x:c r="A20" s="22" t="str">
        <x:v>一次性服务费</x:v>
      </x:c>
      <x:c r="B20" s="25" t="n">
        <x:f>INDEX($G$6:$G$10,$B$3)</x:f>
        <x:v>0</x:v>
      </x:c>
    </x:row>
    <x:row r="21" ht="22" customHeight="1">
      <x:c r="A21" s="23" t="str">
        <x:v>水费/月</x:v>
      </x:c>
      <x:c r="B21" s="24" t="n">
        <x:f>INDEX($H$6:$H$10,$B$3)</x:f>
        <x:v>16.2</x:v>
      </x:c>
    </x:row>
    <x:row r="22" ht="22" customHeight="1">
      <x:c r="A22" s="22" t="str">
        <x:v>电费/月</x:v>
      </x:c>
      <x:c r="B22" s="25" t="n">
        <x:f>INDEX($I$6:$I$10,$B$3)</x:f>
        <x:v>61.7</x:v>
      </x:c>
    </x:row>
    <x:row r="23" ht="22" customHeight="1">
      <x:c r="A23" s="23" t="str">
        <x:v>燃气/月</x:v>
      </x:c>
      <x:c r="B23" s="24" t="n">
        <x:f>INDEX($J$6:$J$10,$B$3)</x:f>
        <x:v>18</x:v>
      </x:c>
    </x:row>
    <x:row r="24" ht="22" customHeight="1">
      <x:c r="A24" s="22" t="str">
        <x:v>网络/月</x:v>
      </x:c>
      <x:c r="B24" s="25" t="n">
        <x:f>INDEX($K$6:$K$10,$B$3)</x:f>
        <x:v>50</x:v>
      </x:c>
    </x:row>
    <x:row r="25" ht="22" customHeight="1">
      <x:c r="A25" s="23" t="str">
        <x:v>通勤/月</x:v>
      </x:c>
      <x:c r="B25" s="24" t="n">
        <x:f>INDEX($L$6:$L$10,$B$3)</x:f>
        <x:v>160</x:v>
      </x:c>
    </x:row>
    <x:row r="26" ht="22" customHeight="1">
      <x:c r="A26" s="22" t="str">
        <x:v>住房证据等级</x:v>
      </x:c>
      <x:c r="B26" s="25" t="str">
        <x:f>INDEX($M$6:$M$10,$B$3)</x:f>
        <x:v>C</x:v>
      </x:c>
    </x:row>
    <x:row r="28" ht="62" customHeight="1">
      <x:c r="P28" s="29" t="str">
        <x:v>人才公寓只适用于符合资格且有房源的申请人，不应作为无条件默认方案。</x:v>
      </x:c>
    </x:row>
  </x:sheetData>
  <x:dataValidations count="1">
    <x:dataValidation type="list" sqref="B3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2" hidden="0" customWidth="1"/>
    <x:col min="4" max="4" width="62" hidden="0" customWidth="1"/>
    <x:col min="5" max="5" width="18" hidden="0" customWidth="1"/>
    <x:col min="6" max="6" width="18" hidden="0" customWidth="1"/>
    <x:col min="7" max="7" width="14" hidden="0" customWidth="1"/>
    <x:col min="8" max="8" width="2" hidden="0" customWidth="1"/>
    <x:col min="9" max="9" width="52" hidden="0" customWidth="1"/>
  </x:cols>
  <x:sheetData>
    <x:row r="2" ht="28" customHeight="1">
      <x:c r="A2" s="3" t="str">
        <x:v>餐饮、固定支出与首月缓冲假设</x:v>
      </x:c>
    </x:row>
    <x:row r="3" ht="30" customHeight="1">
      <x:c r="A3" s="47" t="str">
        <x:v>当前餐饮档位（1-3）</x:v>
      </x:c>
      <x:c r="B3" s="55" t="n">
        <x:v>2</x:v>
      </x:c>
      <x:c r="C3" s="48"/>
      <x:c r="D3" s="48" t="str">
        <x:v>当前餐饮名称</x:v>
      </x:c>
      <x:c r="E3" s="48" t="str">
        <x:f>INDEX(A8:A10,B3)</x:f>
        <x:v>2 堂食与外卖混合</x:v>
      </x:c>
      <x:c r="F3" s="48" t="str">
        <x:v>当前餐饮月额</x:v>
      </x:c>
      <x:c r="G3" s="56" t="n">
        <x:f>INDEX(B8:B10,B3)</x:f>
        <x:v>2100</x:v>
      </x:c>
      <x:c r="H3" s="48"/>
      <x:c r="I3" s="48"/>
    </x:row>
    <x:row r="7" ht="32" customHeight="1">
      <x:c r="A7" s="21" t="str">
        <x:v>餐饮篮子</x:v>
      </x:c>
      <x:c r="B7" s="21" t="str">
        <x:v>月额</x:v>
      </x:c>
      <x:c r="C7" s="21" t="str">
        <x:v>证据</x:v>
      </x:c>
      <x:c r="D7" s="21" t="str">
        <x:v>计算口径</x:v>
      </x:c>
    </x:row>
    <x:row r="8">
      <x:c r="A8" s="22" t="str">
        <x:v>1 食堂/自炊/低价混合</x:v>
      </x:c>
      <x:c r="B8" s="25" t="n">
        <x:v>1500</x:v>
      </x:c>
      <x:c r="C8" s="22" t="str">
        <x:v>C</x:v>
      </x:c>
      <x:c r="D8" s="22" t="str">
        <x:v>8元早餐+18元午餐+20元晚餐，按30日；不假定长期优惠券。</x:v>
      </x:c>
    </x:row>
    <x:row r="9">
      <x:c r="A9" s="23" t="str">
        <x:v>2 堂食与外卖混合</x:v>
      </x:c>
      <x:c r="B9" s="24" t="n">
        <x:v>2100</x:v>
      </x:c>
      <x:c r="C9" s="23" t="str">
        <x:v>C</x:v>
      </x:c>
      <x:c r="D9" s="23" t="str">
        <x:v>70元/日，按30日；本表主情景。</x:v>
      </x:c>
    </x:row>
    <x:row r="10">
      <x:c r="A10" s="22" t="str">
        <x:v>3 外卖高频</x:v>
      </x:c>
      <x:c r="B10" s="25" t="n">
        <x:v>2800</x:v>
      </x:c>
      <x:c r="C10" s="22" t="str">
        <x:v>C</x:v>
      </x:c>
      <x:c r="D10" s="22" t="str">
        <x:v>约93元/日；按单餐商品20至35元加配送包装2至9元。</x:v>
      </x:c>
    </x:row>
    <x:row r="13" ht="32" customHeight="1">
      <x:c r="A13" s="21" t="str">
        <x:v>其他生活参数</x:v>
      </x:c>
      <x:c r="B13" s="21" t="str">
        <x:v>当前值</x:v>
      </x:c>
    </x:row>
    <x:row r="14">
      <x:c r="A14" s="22" t="str">
        <x:v>其他固定支出/月</x:v>
      </x:c>
      <x:c r="B14" s="52" t="n">
        <x:v>300</x:v>
      </x:c>
    </x:row>
    <x:row r="15">
      <x:c r="A15" s="23" t="str">
        <x:v>首月应急缓冲</x:v>
      </x:c>
      <x:c r="B15" s="52" t="n">
        <x:v>2000</x:v>
      </x:c>
    </x:row>
    <x:row r="16">
      <x:c r="A16" s="22" t="str">
        <x:v>其他一次性支出</x:v>
      </x:c>
      <x:c r="B16" s="52" t="n">
        <x:v>0</x:v>
      </x:c>
    </x:row>
    <x:row r="17" ht="28" customHeight="1">
      <x:c r="A17" s="23" t="str">
        <x:v>合租是否包含网络</x:v>
      </x:c>
      <x:c r="B17" s="23" t="str">
        <x:v>不含；另计50元/月</x:v>
      </x:c>
    </x:row>
    <x:row r="18" ht="28" customHeight="1">
      <x:c r="A18" s="22" t="str">
        <x:v>外卖单餐全包观察区间</x:v>
      </x:c>
      <x:c r="B18" s="22" t="str">
        <x:v>22至44元</x:v>
      </x:c>
    </x:row>
    <x:row r="20" ht="84" customHeight="1">
      <x:c r="D20" s="29" t="str">
        <x:v>餐饮是模型篮子，不是连续30天外卖账单。官方居民消费支出只作外部校验，不能直接替代单身青年餐费。</x:v>
      </x:c>
    </x:row>
    <x:row r="22" ht="66" customHeight="1">
      <x:c r="D22" s="29" t="str">
        <x:v>水、电、燃气和网络按整租/合租分别计入住房预设；手机、清洁和个人用品并入其他固定支出。</x:v>
      </x:c>
    </x:row>
  </x:sheetData>
  <x:dataValidations count="1">
    <x:dataValidation type="list" sqref="B3">
      <x:formula1>"1,2,3"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1" hidden="0" customWidth="1"/>
    <x:col min="4" max="4" width="16" hidden="0" customWidth="1"/>
    <x:col min="5" max="5" width="11" hidden="0" customWidth="1"/>
    <x:col min="6" max="6" width="14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6" hidden="0" customWidth="1"/>
    <x:col min="13" max="13" width="15" hidden="0" customWidth="1"/>
    <x:col min="14" max="14" width="15" hidden="0" customWidth="1"/>
    <x:col min="15" max="15" width="17" hidden="0" customWidth="1"/>
    <x:col min="16" max="16" width="12" hidden="0" customWidth="1"/>
    <x:col min="17" max="17" width="16" hidden="0" customWidth="1"/>
    <x:col min="18" max="18" width="18" hidden="0" customWidth="1"/>
    <x:col min="19" max="19" width="2" hidden="0" customWidth="1"/>
    <x:col min="20" max="20" width="52" hidden="0" customWidth="1"/>
  </x:cols>
  <x:sheetData>
    <x:row r="2" ht="28" customHeight="1">
      <x:c r="A2" s="3" t="str">
        <x:v>月均到手现金、净结余和首月资金联动测算</x:v>
      </x:c>
    </x:row>
    <x:row r="3" ht="32" customHeight="1">
      <x:c r="A3" s="21" t="str">
        <x:v>情景</x:v>
      </x:c>
      <x:c r="B3" s="21" t="str">
        <x:v>税前月薪</x:v>
      </x:c>
      <x:c r="C3" s="21" t="str">
        <x:v>年发月数</x:v>
      </x:c>
      <x:c r="D3" s="21" t="str">
        <x:v>月均到手现金</x:v>
      </x:c>
      <x:c r="E3" s="21" t="str">
        <x:v>月租</x:v>
      </x:c>
      <x:c r="F3" s="21" t="str">
        <x:v>中介费摊销</x:v>
      </x:c>
      <x:c r="G3" s="21" t="str">
        <x:v>月服务费</x:v>
      </x:c>
      <x:c r="H3" s="21" t="str">
        <x:v>水电气网</x:v>
      </x:c>
      <x:c r="I3" s="21" t="str">
        <x:v>餐饮</x:v>
      </x:c>
      <x:c r="J3" s="21" t="str">
        <x:v>通勤</x:v>
      </x:c>
      <x:c r="K3" s="21" t="str">
        <x:v>其他固定</x:v>
      </x:c>
      <x:c r="L3" s="21" t="str">
        <x:v>月经常性支出</x:v>
      </x:c>
      <x:c r="M3" s="21" t="str">
        <x:v>个人公积金/月</x:v>
      </x:c>
      <x:c r="N3" s="21" t="str">
        <x:v>现金净结余</x:v>
      </x:c>
      <x:c r="O3" s="21" t="str">
        <x:v>含公积金净结余</x:v>
      </x:c>
      <x:c r="P3" s="21" t="str">
        <x:v>房租收入比</x:v>
      </x:c>
      <x:c r="Q3" s="21" t="str">
        <x:v>首月最低现金</x:v>
      </x:c>
      <x:c r="R3" s="21" t="str">
        <x:v>建议储备</x:v>
      </x:c>
    </x:row>
    <x:row r="4">
      <x:c r="A4" s="63" t="str">
        <x:f>INDEX('住房预设'!A6:A10,'住房预设'!B3)</x:f>
        <x:v>2 合租-中介押一付三</x:v>
      </x:c>
      <x:c r="B4" s="64" t="n">
        <x:f>'税费计算'!B8</x:f>
        <x:v>10000</x:v>
      </x:c>
      <x:c r="C4" s="63" t="n">
        <x:f>'税费计算'!B9</x:f>
        <x:v>12</x:v>
      </x:c>
      <x:c r="D4" s="66" t="n">
        <x:f>'税费计算'!B29</x:f>
        <x:v>8197.5</x:v>
      </x:c>
      <x:c r="E4" s="66" t="n">
        <x:f>INDEX('住房预设'!B6:B10,'住房预设'!B3)</x:f>
        <x:v>1300</x:v>
      </x:c>
      <x:c r="F4" s="66" t="n">
        <x:f>E4*INDEX('住房预设'!E6:E10,'住房预设'!B3)/'税费计算'!B12</x:f>
        <x:v>37.916666666666664</x:v>
      </x:c>
      <x:c r="G4" s="66" t="n">
        <x:f>INDEX('住房预设'!F6:F10,'住房预设'!B3)</x:f>
        <x:v>0</x:v>
      </x:c>
      <x:c r="H4" s="66" t="n">
        <x:f>SUM(INDEX('住房预设'!$H$6:$H$10,'住房预设'!$B$3),INDEX('住房预设'!$I$6:$I$10,'住房预设'!$B$3),INDEX('住房预设'!$J$6:$J$10,'住房预设'!$B$3),INDEX('住房预设'!$K$6:$K$10,'住房预设'!$B$3))</x:f>
        <x:v>145.9</x:v>
      </x:c>
      <x:c r="I4" s="66" t="n">
        <x:f>'生活假设'!G3</x:f>
        <x:v>2100</x:v>
      </x:c>
      <x:c r="J4" s="66" t="n">
        <x:f>INDEX('住房预设'!L6:L10,'住房预设'!B3)</x:f>
        <x:v>160</x:v>
      </x:c>
      <x:c r="K4" s="66" t="n">
        <x:f>'生活假设'!B14</x:f>
        <x:v>300</x:v>
      </x:c>
      <x:c r="L4" s="66" t="n">
        <x:f>SUM(E4:K4)</x:f>
        <x:v>4043.8166666666666</x:v>
      </x:c>
      <x:c r="M4" s="66" t="n">
        <x:f>'税费计算'!B22</x:f>
        <x:v>700.0000000000001</x:v>
      </x:c>
      <x:c r="N4" s="67" t="n">
        <x:f>D4-L4</x:f>
        <x:v>4153.683333333333</x:v>
      </x:c>
      <x:c r="O4" s="67" t="n">
        <x:f>N4+M4</x:f>
        <x:v>4853.683333333333</x:v>
      </x:c>
      <x:c r="P4" s="65" t="n">
        <x:f>E4/B4</x:f>
        <x:v>0.13</x:v>
      </x:c>
      <x:c r="Q4" s="64" t="n">
        <x:f>INDEX('首月资金'!M6:M10,'住房预设'!B3)</x:f>
        <x:v>8360.9</x:v>
      </x:c>
      <x:c r="R4" s="64" t="n">
        <x:f>INDEX('首月资金'!O6:O10,'住房预设'!B3)</x:f>
        <x:v>10360.9</x:v>
      </x:c>
    </x:row>
    <x:row r="6">
      <x:c r="A6" s="68" t="str">
        <x:v>五类住房在同一工资与生活假设下的比较</x:v>
      </x:c>
    </x:row>
    <x:row r="7" ht="32" customHeight="1">
      <x:c r="A7" s="21" t="str">
        <x:v>情景</x:v>
      </x:c>
      <x:c r="B7" s="21" t="str">
        <x:v>税前月薪</x:v>
      </x:c>
      <x:c r="C7" s="21" t="str">
        <x:v>年发月数</x:v>
      </x:c>
      <x:c r="D7" s="21" t="str">
        <x:v>月均到手现金</x:v>
      </x:c>
      <x:c r="E7" s="21" t="str">
        <x:v>月租</x:v>
      </x:c>
      <x:c r="F7" s="21" t="str">
        <x:v>中介费摊销</x:v>
      </x:c>
      <x:c r="G7" s="21" t="str">
        <x:v>月服务费</x:v>
      </x:c>
      <x:c r="H7" s="21" t="str">
        <x:v>水电气网</x:v>
      </x:c>
      <x:c r="I7" s="21" t="str">
        <x:v>餐饮</x:v>
      </x:c>
      <x:c r="J7" s="21" t="str">
        <x:v>通勤</x:v>
      </x:c>
      <x:c r="K7" s="21" t="str">
        <x:v>其他固定</x:v>
      </x:c>
      <x:c r="L7" s="21" t="str">
        <x:v>月经常性支出</x:v>
      </x:c>
      <x:c r="M7" s="21" t="str">
        <x:v>个人公积金/月</x:v>
      </x:c>
      <x:c r="N7" s="21" t="str">
        <x:v>现金净结余</x:v>
      </x:c>
      <x:c r="O7" s="21" t="str">
        <x:v>含公积金净结余</x:v>
      </x:c>
      <x:c r="P7" s="21" t="str">
        <x:v>房租收入比</x:v>
      </x:c>
      <x:c r="Q7" s="21" t="str">
        <x:v>首月最低现金</x:v>
      </x:c>
      <x:c r="R7" s="21" t="str">
        <x:v>建议储备</x:v>
      </x:c>
    </x:row>
    <x:row r="8">
      <x:c r="A8" s="57" t="str">
        <x:f>'住房预设'!A6</x:f>
        <x:v>1 合租-直租</x:v>
      </x:c>
      <x:c r="B8" s="58" t="n">
        <x:f>'税费计算'!$B$8</x:f>
        <x:v>10000</x:v>
      </x:c>
      <x:c r="C8" s="58" t="n">
        <x:f>'税费计算'!$B$9</x:f>
        <x:v>12</x:v>
      </x:c>
      <x:c r="D8" s="58" t="n">
        <x:f>'税费计算'!$B$29</x:f>
        <x:v>8197.5</x:v>
      </x:c>
      <x:c r="E8" s="58" t="n">
        <x:f>'住房预设'!B6</x:f>
        <x:v>1200</x:v>
      </x:c>
      <x:c r="F8" s="58" t="n">
        <x:f>E8*'住房预设'!E6/'税费计算'!$B$12</x:f>
        <x:v>0</x:v>
      </x:c>
      <x:c r="G8" s="58" t="n">
        <x:f>'住房预设'!F6</x:f>
        <x:v>0</x:v>
      </x:c>
      <x:c r="H8" s="58" t="n">
        <x:f>SUM('住房预设'!H6:K6)</x:f>
        <x:v>145.9</x:v>
      </x:c>
      <x:c r="I8" s="58" t="n">
        <x:f>'生活假设'!$G$3</x:f>
        <x:v>2100</x:v>
      </x:c>
      <x:c r="J8" s="58" t="n">
        <x:f>'住房预设'!L6</x:f>
        <x:v>160</x:v>
      </x:c>
      <x:c r="K8" s="58" t="n">
        <x:f>'生活假设'!$B$14</x:f>
        <x:v>300</x:v>
      </x:c>
      <x:c r="L8" s="58" t="n">
        <x:f>SUM(E8:K8)</x:f>
        <x:v>3905.9</x:v>
      </x:c>
      <x:c r="M8" s="58" t="n">
        <x:f>'税费计算'!$B$22</x:f>
        <x:v>700.0000000000001</x:v>
      </x:c>
      <x:c r="N8" s="71" t="n">
        <x:f>D8-L8</x:f>
        <x:v>4291.6</x:v>
      </x:c>
      <x:c r="O8" s="71" t="n">
        <x:f>N8+M8</x:f>
        <x:v>4991.6</x:v>
      </x:c>
      <x:c r="P8" s="69" t="n">
        <x:f>E8/B8</x:f>
        <x:v>0.12</x:v>
      </x:c>
      <x:c r="Q8" s="58" t="n">
        <x:f>'首月资金'!M6</x:f>
        <x:v>5105.9</x:v>
      </x:c>
      <x:c r="R8" s="58" t="n">
        <x:f>'首月资金'!O6</x:f>
        <x:v>7105.9</x:v>
      </x:c>
    </x:row>
    <x:row r="9">
      <x:c r="A9" s="59" t="str">
        <x:f>'住房预设'!A7</x:f>
        <x:v>2 合租-中介押一付三</x:v>
      </x:c>
      <x:c r="B9" s="60" t="n">
        <x:f>'税费计算'!$B$8</x:f>
        <x:v>10000</x:v>
      </x:c>
      <x:c r="C9" s="60" t="n">
        <x:f>'税费计算'!$B$9</x:f>
        <x:v>12</x:v>
      </x:c>
      <x:c r="D9" s="60" t="n">
        <x:f>'税费计算'!$B$29</x:f>
        <x:v>8197.5</x:v>
      </x:c>
      <x:c r="E9" s="60" t="n">
        <x:f>'住房预设'!B7</x:f>
        <x:v>1300</x:v>
      </x:c>
      <x:c r="F9" s="60" t="n">
        <x:f>E9*'住房预设'!E7/'税费计算'!$B$12</x:f>
        <x:v>37.916666666666664</x:v>
      </x:c>
      <x:c r="G9" s="60" t="n">
        <x:f>'住房预设'!F7</x:f>
        <x:v>0</x:v>
      </x:c>
      <x:c r="H9" s="60" t="n">
        <x:f>SUM('住房预设'!H7:K7)</x:f>
        <x:v>145.9</x:v>
      </x:c>
      <x:c r="I9" s="60" t="n">
        <x:f>'生活假设'!$G$3</x:f>
        <x:v>2100</x:v>
      </x:c>
      <x:c r="J9" s="60" t="n">
        <x:f>'住房预设'!L7</x:f>
        <x:v>160</x:v>
      </x:c>
      <x:c r="K9" s="60" t="n">
        <x:f>'生活假设'!$B$14</x:f>
        <x:v>300</x:v>
      </x:c>
      <x:c r="L9" s="60" t="n">
        <x:f>SUM(E9:K9)</x:f>
        <x:v>4043.8166666666666</x:v>
      </x:c>
      <x:c r="M9" s="60" t="n">
        <x:f>'税费计算'!$B$22</x:f>
        <x:v>700.0000000000001</x:v>
      </x:c>
      <x:c r="N9" s="72" t="n">
        <x:f>D9-L9</x:f>
        <x:v>4153.683333333333</x:v>
      </x:c>
      <x:c r="O9" s="72" t="n">
        <x:f>N9+M9</x:f>
        <x:v>4853.683333333333</x:v>
      </x:c>
      <x:c r="P9" s="70" t="n">
        <x:f>E9/B9</x:f>
        <x:v>0.13</x:v>
      </x:c>
      <x:c r="Q9" s="60" t="n">
        <x:f>'首月资金'!M7</x:f>
        <x:v>8360.9</x:v>
      </x:c>
      <x:c r="R9" s="60" t="n">
        <x:f>'首月资金'!O7</x:f>
        <x:v>10360.9</x:v>
      </x:c>
    </x:row>
    <x:row r="10">
      <x:c r="A10" s="57" t="str">
        <x:f>'住房预设'!A8</x:f>
        <x:v>3 整租-直租</x:v>
      </x:c>
      <x:c r="B10" s="58" t="n">
        <x:f>'税费计算'!$B$8</x:f>
        <x:v>10000</x:v>
      </x:c>
      <x:c r="C10" s="58" t="n">
        <x:f>'税费计算'!$B$9</x:f>
        <x:v>12</x:v>
      </x:c>
      <x:c r="D10" s="58" t="n">
        <x:f>'税费计算'!$B$29</x:f>
        <x:v>8197.5</x:v>
      </x:c>
      <x:c r="E10" s="58" t="n">
        <x:f>'住房预设'!B8</x:f>
        <x:v>2200</x:v>
      </x:c>
      <x:c r="F10" s="58" t="n">
        <x:f>E10*'住房预设'!E8/'税费计算'!$B$12</x:f>
        <x:v>0</x:v>
      </x:c>
      <x:c r="G10" s="58" t="n">
        <x:f>'住房预设'!F8</x:f>
        <x:v>0</x:v>
      </x:c>
      <x:c r="H10" s="58" t="n">
        <x:f>SUM('住房预设'!H8:K8)</x:f>
        <x:v>208.24</x:v>
      </x:c>
      <x:c r="I10" s="58" t="n">
        <x:f>'生活假设'!$G$3</x:f>
        <x:v>2100</x:v>
      </x:c>
      <x:c r="J10" s="58" t="n">
        <x:f>'住房预设'!L8</x:f>
        <x:v>160</x:v>
      </x:c>
      <x:c r="K10" s="58" t="n">
        <x:f>'生活假设'!$B$14</x:f>
        <x:v>300</x:v>
      </x:c>
      <x:c r="L10" s="58" t="n">
        <x:f>SUM(E10:K10)</x:f>
        <x:v>4968.24</x:v>
      </x:c>
      <x:c r="M10" s="58" t="n">
        <x:f>'税费计算'!$B$22</x:f>
        <x:v>700.0000000000001</x:v>
      </x:c>
      <x:c r="N10" s="71" t="n">
        <x:f>D10-L10</x:f>
        <x:v>3229.26</x:v>
      </x:c>
      <x:c r="O10" s="71" t="n">
        <x:f>N10+M10</x:f>
        <x:v>3929.26</x:v>
      </x:c>
      <x:c r="P10" s="69" t="n">
        <x:f>E10/B10</x:f>
        <x:v>0.22</x:v>
      </x:c>
      <x:c r="Q10" s="58" t="n">
        <x:f>'首月资金'!M8</x:f>
        <x:v>7168.24</x:v>
      </x:c>
      <x:c r="R10" s="58" t="n">
        <x:f>'首月资金'!O8</x:f>
        <x:v>9168.24</x:v>
      </x:c>
    </x:row>
    <x:row r="11">
      <x:c r="A11" s="59" t="str">
        <x:f>'住房预设'!A9</x:f>
        <x:v>4 整租-中介押一付三</x:v>
      </x:c>
      <x:c r="B11" s="60" t="n">
        <x:f>'税费计算'!$B$8</x:f>
        <x:v>10000</x:v>
      </x:c>
      <x:c r="C11" s="60" t="n">
        <x:f>'税费计算'!$B$9</x:f>
        <x:v>12</x:v>
      </x:c>
      <x:c r="D11" s="60" t="n">
        <x:f>'税费计算'!$B$29</x:f>
        <x:v>8197.5</x:v>
      </x:c>
      <x:c r="E11" s="60" t="n">
        <x:f>'住房预设'!B9</x:f>
        <x:v>2200</x:v>
      </x:c>
      <x:c r="F11" s="60" t="n">
        <x:f>E11*'住房预设'!E9/'税费计算'!$B$12</x:f>
        <x:v>64.16666666666667</x:v>
      </x:c>
      <x:c r="G11" s="60" t="n">
        <x:f>'住房预设'!F9</x:f>
        <x:v>0</x:v>
      </x:c>
      <x:c r="H11" s="60" t="n">
        <x:f>SUM('住房预设'!H9:K9)</x:f>
        <x:v>208.24</x:v>
      </x:c>
      <x:c r="I11" s="60" t="n">
        <x:f>'生活假设'!$G$3</x:f>
        <x:v>2100</x:v>
      </x:c>
      <x:c r="J11" s="60" t="n">
        <x:f>'住房预设'!L9</x:f>
        <x:v>160</x:v>
      </x:c>
      <x:c r="K11" s="60" t="n">
        <x:f>'生活假设'!$B$14</x:f>
        <x:v>300</x:v>
      </x:c>
      <x:c r="L11" s="60" t="n">
        <x:f>SUM(E11:K11)</x:f>
        <x:v>5032.406666666667</x:v>
      </x:c>
      <x:c r="M11" s="60" t="n">
        <x:f>'税费计算'!$B$22</x:f>
        <x:v>700.0000000000001</x:v>
      </x:c>
      <x:c r="N11" s="72" t="n">
        <x:f>D11-L11</x:f>
        <x:v>3165.0933333333332</x:v>
      </x:c>
      <x:c r="O11" s="72" t="n">
        <x:f>N11+M11</x:f>
        <x:v>3865.0933333333332</x:v>
      </x:c>
      <x:c r="P11" s="70" t="n">
        <x:f>E11/B11</x:f>
        <x:v>0.22</x:v>
      </x:c>
      <x:c r="Q11" s="60" t="n">
        <x:f>'首月资金'!M9</x:f>
        <x:v>12338.24</x:v>
      </x:c>
      <x:c r="R11" s="60" t="n">
        <x:f>'首月资金'!O9</x:f>
        <x:v>14338.24</x:v>
      </x:c>
    </x:row>
    <x:row r="12">
      <x:c r="A12" s="57" t="str">
        <x:f>'住房预设'!A10</x:f>
        <x:v>5 人才公寓-条件情景</x:v>
      </x:c>
      <x:c r="B12" s="58" t="n">
        <x:f>'税费计算'!$B$8</x:f>
        <x:v>10000</x:v>
      </x:c>
      <x:c r="C12" s="58" t="n">
        <x:f>'税费计算'!$B$9</x:f>
        <x:v>12</x:v>
      </x:c>
      <x:c r="D12" s="58" t="n">
        <x:f>'税费计算'!$B$29</x:f>
        <x:v>8197.5</x:v>
      </x:c>
      <x:c r="E12" s="58" t="n">
        <x:f>'住房预设'!B10</x:f>
        <x:v>1500</x:v>
      </x:c>
      <x:c r="F12" s="58" t="n">
        <x:f>E12*'住房预设'!E10/'税费计算'!$B$12</x:f>
        <x:v>0</x:v>
      </x:c>
      <x:c r="G12" s="58" t="n">
        <x:f>'住房预设'!F10</x:f>
        <x:v>0</x:v>
      </x:c>
      <x:c r="H12" s="58" t="n">
        <x:f>SUM('住房预设'!H10:K10)</x:f>
        <x:v>208.24</x:v>
      </x:c>
      <x:c r="I12" s="58" t="n">
        <x:f>'生活假设'!$G$3</x:f>
        <x:v>2100</x:v>
      </x:c>
      <x:c r="J12" s="58" t="n">
        <x:f>'住房预设'!L10</x:f>
        <x:v>180</x:v>
      </x:c>
      <x:c r="K12" s="58" t="n">
        <x:f>'生活假设'!$B$14</x:f>
        <x:v>300</x:v>
      </x:c>
      <x:c r="L12" s="58" t="n">
        <x:f>SUM(E12:K12)</x:f>
        <x:v>4288.24</x:v>
      </x:c>
      <x:c r="M12" s="58" t="n">
        <x:f>'税费计算'!$B$22</x:f>
        <x:v>700.0000000000001</x:v>
      </x:c>
      <x:c r="N12" s="71" t="n">
        <x:f>D12-L12</x:f>
        <x:v>3909.26</x:v>
      </x:c>
      <x:c r="O12" s="71" t="n">
        <x:f>N12+M12</x:f>
        <x:v>4609.26</x:v>
      </x:c>
      <x:c r="P12" s="69" t="n">
        <x:f>E12/B12</x:f>
        <x:v>0.15</x:v>
      </x:c>
      <x:c r="Q12" s="58" t="n">
        <x:f>'首月资金'!M10</x:f>
        <x:v>5788.24</x:v>
      </x:c>
      <x:c r="R12" s="58" t="n">
        <x:f>'首月资金'!O10</x:f>
        <x:v>7788.24</x:v>
      </x:c>
    </x:row>
    <x:row r="15">
      <x:c r="A15" s="68" t="str">
        <x:v>税前月薪与年发月数敏感性（当前住房与生活参数）</x:v>
      </x:c>
    </x:row>
    <x:row r="16" ht="32" customHeight="1">
      <x:c r="A16" s="21" t="str">
        <x:v>税前月薪</x:v>
      </x:c>
      <x:c r="B16" s="21" t="str">
        <x:v>年发月数</x:v>
      </x:c>
      <x:c r="C16" s="21" t="str">
        <x:v>月均到手现金</x:v>
      </x:c>
      <x:c r="D16" s="21" t="str">
        <x:v>现金净结余</x:v>
      </x:c>
      <x:c r="E16" s="21" t="str">
        <x:v>含公积金净结余</x:v>
      </x:c>
      <x:c r="F16" s="21" t="str">
        <x:v>房租收入比</x:v>
      </x:c>
    </x:row>
    <x:row r="17">
      <x:c r="A17" s="43" t="n">
        <x:v>8000</x:v>
      </x:c>
      <x:c r="B17" s="30" t="n">
        <x:v>12</x:v>
      </x:c>
      <x:c r="C17" s="43" t="n">
        <x:f>(A17*B17-MIN(MAX(A17,'税费计算'!$E$8),'税费计算'!$E$9)*'税费计算'!$E$12*12-MIN(MAX(A17,'税费计算'!$E$10),'税费计算'!$E$11)*'税费计算'!$B$10*12-IF(MAX(0,A17*B17-MIN(MAX(A17,'税费计算'!$E$8),'税费计算'!$E$9)*'税费计算'!$E$12*12-MIN(MAX(A17,'税费计算'!$E$10),'税费计算'!$E$11)*'税费计算'!$B$10*12-'税费计算'!$E$13-'税费计算'!$B$11*12)&lt;=36000,MAX(0,A17*B17-MIN(MAX(A17,'税费计算'!$E$8),'税费计算'!$E$9)*'税费计算'!$E$12*12-MIN(MAX(A17,'税费计算'!$E$10),'税费计算'!$E$11)*'税费计算'!$B$10*12-'税费计算'!$E$13-'税费计算'!$B$11*12)*0.03,IF(MAX(0,A17*B17-MIN(MAX(A17,'税费计算'!$E$8),'税费计算'!$E$9)*'税费计算'!$E$12*12-MIN(MAX(A17,'税费计算'!$E$10),'税费计算'!$E$11)*'税费计算'!$B$10*12-'税费计算'!$E$13-'税费计算'!$B$11*12)&lt;=144000,MAX(0,A17*B17-MIN(MAX(A17,'税费计算'!$E$8),'税费计算'!$E$9)*'税费计算'!$E$12*12-MIN(MAX(A17,'税费计算'!$E$10),'税费计算'!$E$11)*'税费计算'!$B$10*12-'税费计算'!$E$13-'税费计算'!$B$11*12)*0.1-2520,IF(MAX(0,A17*B17-MIN(MAX(A17,'税费计算'!$E$8),'税费计算'!$E$9)*'税费计算'!$E$12*12-MIN(MAX(A17,'税费计算'!$E$10),'税费计算'!$E$11)*'税费计算'!$B$10*12-'税费计算'!$E$13-'税费计算'!$B$11*12)&lt;=300000,MAX(0,A17*B17-MIN(MAX(A17,'税费计算'!$E$8),'税费计算'!$E$9)*'税费计算'!$E$12*12-MIN(MAX(A17,'税费计算'!$E$10),'税费计算'!$E$11)*'税费计算'!$B$10*12-'税费计算'!$E$13-'税费计算'!$B$11*12)*0.2-16920,IF(MAX(0,A17*B17-MIN(MAX(A17,'税费计算'!$E$8),'税费计算'!$E$9)*'税费计算'!$E$12*12-MIN(MAX(A17,'税费计算'!$E$10),'税费计算'!$E$11)*'税费计算'!$B$10*12-'税费计算'!$E$13-'税费计算'!$B$11*12)&lt;=420000,MAX(0,A17*B17-MIN(MAX(A17,'税费计算'!$E$8),'税费计算'!$E$9)*'税费计算'!$E$12*12-MIN(MAX(A17,'税费计算'!$E$10),'税费计算'!$E$11)*'税费计算'!$B$10*12-'税费计算'!$E$13-'税费计算'!$B$11*12)*0.25-31920,IF(MAX(0,A17*B17-MIN(MAX(A17,'税费计算'!$E$8),'税费计算'!$E$9)*'税费计算'!$E$12*12-MIN(MAX(A17,'税费计算'!$E$10),'税费计算'!$E$11)*'税费计算'!$B$10*12-'税费计算'!$E$13-'税费计算'!$B$11*12)&lt;=660000,MAX(0,A17*B17-MIN(MAX(A17,'税费计算'!$E$8),'税费计算'!$E$9)*'税费计算'!$E$12*12-MIN(MAX(A17,'税费计算'!$E$10),'税费计算'!$E$11)*'税费计算'!$B$10*12-'税费计算'!$E$13-'税费计算'!$B$11*12)*0.3-52920,IF(MAX(0,A17*B17-MIN(MAX(A17,'税费计算'!$E$8),'税费计算'!$E$9)*'税费计算'!$E$12*12-MIN(MAX(A17,'税费计算'!$E$10),'税费计算'!$E$11)*'税费计算'!$B$10*12-'税费计算'!$E$13-'税费计算'!$B$11*12)&lt;=960000,MAX(0,A17*B17-MIN(MAX(A17,'税费计算'!$E$8),'税费计算'!$E$9)*'税费计算'!$E$12*12-MIN(MAX(A17,'税费计算'!$E$10),'税费计算'!$E$11)*'税费计算'!$B$10*12-'税费计算'!$E$13-'税费计算'!$B$11*12)*0.35-85920,MAX(0,A17*B17-MIN(MAX(A17,'税费计算'!$E$8),'税费计算'!$E$9)*'税费计算'!$E$12*12-MIN(MAX(A17,'税费计算'!$E$10),'税费计算'!$E$11)*'税费计算'!$B$10*12-'税费计算'!$E$13-'税费计算'!$B$11*12)*0.45-181920)))))))/12</x:f>
        <x:v>6597</x:v>
      </x:c>
      <x:c r="D17" s="43" t="n">
        <x:f>C17-'净结余测算'!$L$4</x:f>
        <x:v>2553.1833333333334</x:v>
      </x:c>
      <x:c r="E17" s="43" t="n">
        <x:f>D17+MIN(MAX(A17,'税费计算'!$E$10),'税费计算'!$E$11)*'税费计算'!$B$10</x:f>
        <x:v>3113.1833333333334</x:v>
      </x:c>
      <x:c r="F17" s="44" t="n">
        <x:f>'净结余测算'!$E$4/A17</x:f>
        <x:v>0.1625</x:v>
      </x:c>
    </x:row>
    <x:row r="18">
      <x:c r="A18" s="43" t="n">
        <x:v>10000</x:v>
      </x:c>
      <x:c r="B18" s="30" t="n">
        <x:v>12</x:v>
      </x:c>
      <x:c r="C18" s="43" t="n">
        <x:f>(A18*B18-MIN(MAX(A18,'税费计算'!$E$8),'税费计算'!$E$9)*'税费计算'!$E$12*12-MIN(MAX(A18,'税费计算'!$E$10),'税费计算'!$E$11)*'税费计算'!$B$10*12-IF(MAX(0,A18*B18-MIN(MAX(A18,'税费计算'!$E$8),'税费计算'!$E$9)*'税费计算'!$E$12*12-MIN(MAX(A18,'税费计算'!$E$10),'税费计算'!$E$11)*'税费计算'!$B$10*12-'税费计算'!$E$13-'税费计算'!$B$11*12)&lt;=36000,MAX(0,A18*B18-MIN(MAX(A18,'税费计算'!$E$8),'税费计算'!$E$9)*'税费计算'!$E$12*12-MIN(MAX(A18,'税费计算'!$E$10),'税费计算'!$E$11)*'税费计算'!$B$10*12-'税费计算'!$E$13-'税费计算'!$B$11*12)*0.03,IF(MAX(0,A18*B18-MIN(MAX(A18,'税费计算'!$E$8),'税费计算'!$E$9)*'税费计算'!$E$12*12-MIN(MAX(A18,'税费计算'!$E$10),'税费计算'!$E$11)*'税费计算'!$B$10*12-'税费计算'!$E$13-'税费计算'!$B$11*12)&lt;=144000,MAX(0,A18*B18-MIN(MAX(A18,'税费计算'!$E$8),'税费计算'!$E$9)*'税费计算'!$E$12*12-MIN(MAX(A18,'税费计算'!$E$10),'税费计算'!$E$11)*'税费计算'!$B$10*12-'税费计算'!$E$13-'税费计算'!$B$11*12)*0.1-2520,IF(MAX(0,A18*B18-MIN(MAX(A18,'税费计算'!$E$8),'税费计算'!$E$9)*'税费计算'!$E$12*12-MIN(MAX(A18,'税费计算'!$E$10),'税费计算'!$E$11)*'税费计算'!$B$10*12-'税费计算'!$E$13-'税费计算'!$B$11*12)&lt;=300000,MAX(0,A18*B18-MIN(MAX(A18,'税费计算'!$E$8),'税费计算'!$E$9)*'税费计算'!$E$12*12-MIN(MAX(A18,'税费计算'!$E$10),'税费计算'!$E$11)*'税费计算'!$B$10*12-'税费计算'!$E$13-'税费计算'!$B$11*12)*0.2-16920,IF(MAX(0,A18*B18-MIN(MAX(A18,'税费计算'!$E$8),'税费计算'!$E$9)*'税费计算'!$E$12*12-MIN(MAX(A18,'税费计算'!$E$10),'税费计算'!$E$11)*'税费计算'!$B$10*12-'税费计算'!$E$13-'税费计算'!$B$11*12)&lt;=420000,MAX(0,A18*B18-MIN(MAX(A18,'税费计算'!$E$8),'税费计算'!$E$9)*'税费计算'!$E$12*12-MIN(MAX(A18,'税费计算'!$E$10),'税费计算'!$E$11)*'税费计算'!$B$10*12-'税费计算'!$E$13-'税费计算'!$B$11*12)*0.25-31920,IF(MAX(0,A18*B18-MIN(MAX(A18,'税费计算'!$E$8),'税费计算'!$E$9)*'税费计算'!$E$12*12-MIN(MAX(A18,'税费计算'!$E$10),'税费计算'!$E$11)*'税费计算'!$B$10*12-'税费计算'!$E$13-'税费计算'!$B$11*12)&lt;=660000,MAX(0,A18*B18-MIN(MAX(A18,'税费计算'!$E$8),'税费计算'!$E$9)*'税费计算'!$E$12*12-MIN(MAX(A18,'税费计算'!$E$10),'税费计算'!$E$11)*'税费计算'!$B$10*12-'税费计算'!$E$13-'税费计算'!$B$11*12)*0.3-52920,IF(MAX(0,A18*B18-MIN(MAX(A18,'税费计算'!$E$8),'税费计算'!$E$9)*'税费计算'!$E$12*12-MIN(MAX(A18,'税费计算'!$E$10),'税费计算'!$E$11)*'税费计算'!$B$10*12-'税费计算'!$E$13-'税费计算'!$B$11*12)&lt;=960000,MAX(0,A18*B18-MIN(MAX(A18,'税费计算'!$E$8),'税费计算'!$E$9)*'税费计算'!$E$12*12-MIN(MAX(A18,'税费计算'!$E$10),'税费计算'!$E$11)*'税费计算'!$B$10*12-'税费计算'!$E$13-'税费计算'!$B$11*12)*0.35-85920,MAX(0,A18*B18-MIN(MAX(A18,'税费计算'!$E$8),'税费计算'!$E$9)*'税费计算'!$E$12*12-MIN(MAX(A18,'税费计算'!$E$10),'税费计算'!$E$11)*'税费计算'!$B$10*12-'税费计算'!$E$13-'税费计算'!$B$11*12)*0.45-181920)))))))/12</x:f>
        <x:v>8197.5</x:v>
      </x:c>
      <x:c r="D18" s="43" t="n">
        <x:f>C18-'净结余测算'!$L$4</x:f>
        <x:v>4153.683333333333</x:v>
      </x:c>
      <x:c r="E18" s="43" t="n">
        <x:f>D18+MIN(MAX(A18,'税费计算'!$E$10),'税费计算'!$E$11)*'税费计算'!$B$10</x:f>
        <x:v>4853.683333333333</x:v>
      </x:c>
      <x:c r="F18" s="44" t="n">
        <x:f>'净结余测算'!$E$4/A18</x:f>
        <x:v>0.13</x:v>
      </x:c>
    </x:row>
    <x:row r="19">
      <x:c r="A19" s="43" t="n">
        <x:v>12000</x:v>
      </x:c>
      <x:c r="B19" s="30" t="n">
        <x:v>12</x:v>
      </x:c>
      <x:c r="C19" s="43" t="n">
        <x:f>(A19*B19-MIN(MAX(A19,'税费计算'!$E$8),'税费计算'!$E$9)*'税费计算'!$E$12*12-MIN(MAX(A19,'税费计算'!$E$10),'税费计算'!$E$11)*'税费计算'!$B$10*12-IF(MAX(0,A19*B19-MIN(MAX(A19,'税费计算'!$E$8),'税费计算'!$E$9)*'税费计算'!$E$12*12-MIN(MAX(A19,'税费计算'!$E$10),'税费计算'!$E$11)*'税费计算'!$B$10*12-'税费计算'!$E$13-'税费计算'!$B$11*12)&lt;=36000,MAX(0,A19*B19-MIN(MAX(A19,'税费计算'!$E$8),'税费计算'!$E$9)*'税费计算'!$E$12*12-MIN(MAX(A19,'税费计算'!$E$10),'税费计算'!$E$11)*'税费计算'!$B$10*12-'税费计算'!$E$13-'税费计算'!$B$11*12)*0.03,IF(MAX(0,A19*B19-MIN(MAX(A19,'税费计算'!$E$8),'税费计算'!$E$9)*'税费计算'!$E$12*12-MIN(MAX(A19,'税费计算'!$E$10),'税费计算'!$E$11)*'税费计算'!$B$10*12-'税费计算'!$E$13-'税费计算'!$B$11*12)&lt;=144000,MAX(0,A19*B19-MIN(MAX(A19,'税费计算'!$E$8),'税费计算'!$E$9)*'税费计算'!$E$12*12-MIN(MAX(A19,'税费计算'!$E$10),'税费计算'!$E$11)*'税费计算'!$B$10*12-'税费计算'!$E$13-'税费计算'!$B$11*12)*0.1-2520,IF(MAX(0,A19*B19-MIN(MAX(A19,'税费计算'!$E$8),'税费计算'!$E$9)*'税费计算'!$E$12*12-MIN(MAX(A19,'税费计算'!$E$10),'税费计算'!$E$11)*'税费计算'!$B$10*12-'税费计算'!$E$13-'税费计算'!$B$11*12)&lt;=300000,MAX(0,A19*B19-MIN(MAX(A19,'税费计算'!$E$8),'税费计算'!$E$9)*'税费计算'!$E$12*12-MIN(MAX(A19,'税费计算'!$E$10),'税费计算'!$E$11)*'税费计算'!$B$10*12-'税费计算'!$E$13-'税费计算'!$B$11*12)*0.2-16920,IF(MAX(0,A19*B19-MIN(MAX(A19,'税费计算'!$E$8),'税费计算'!$E$9)*'税费计算'!$E$12*12-MIN(MAX(A19,'税费计算'!$E$10),'税费计算'!$E$11)*'税费计算'!$B$10*12-'税费计算'!$E$13-'税费计算'!$B$11*12)&lt;=420000,MAX(0,A19*B19-MIN(MAX(A19,'税费计算'!$E$8),'税费计算'!$E$9)*'税费计算'!$E$12*12-MIN(MAX(A19,'税费计算'!$E$10),'税费计算'!$E$11)*'税费计算'!$B$10*12-'税费计算'!$E$13-'税费计算'!$B$11*12)*0.25-31920,IF(MAX(0,A19*B19-MIN(MAX(A19,'税费计算'!$E$8),'税费计算'!$E$9)*'税费计算'!$E$12*12-MIN(MAX(A19,'税费计算'!$E$10),'税费计算'!$E$11)*'税费计算'!$B$10*12-'税费计算'!$E$13-'税费计算'!$B$11*12)&lt;=660000,MAX(0,A19*B19-MIN(MAX(A19,'税费计算'!$E$8),'税费计算'!$E$9)*'税费计算'!$E$12*12-MIN(MAX(A19,'税费计算'!$E$10),'税费计算'!$E$11)*'税费计算'!$B$10*12-'税费计算'!$E$13-'税费计算'!$B$11*12)*0.3-52920,IF(MAX(0,A19*B19-MIN(MAX(A19,'税费计算'!$E$8),'税费计算'!$E$9)*'税费计算'!$E$12*12-MIN(MAX(A19,'税费计算'!$E$10),'税费计算'!$E$11)*'税费计算'!$B$10*12-'税费计算'!$E$13-'税费计算'!$B$11*12)&lt;=960000,MAX(0,A19*B19-MIN(MAX(A19,'税费计算'!$E$8),'税费计算'!$E$9)*'税费计算'!$E$12*12-MIN(MAX(A19,'税费计算'!$E$10),'税费计算'!$E$11)*'税费计算'!$B$10*12-'税费计算'!$E$13-'税费计算'!$B$11*12)*0.35-85920,MAX(0,A19*B19-MIN(MAX(A19,'税费计算'!$E$8),'税费计算'!$E$9)*'税费计算'!$E$12*12-MIN(MAX(A19,'税费计算'!$E$10),'税费计算'!$E$11)*'税费计算'!$B$10*12-'税费计算'!$E$13-'税费计算'!$B$11*12)*0.45-181920)))))))/12</x:f>
        <x:v>9770</x:v>
      </x:c>
      <x:c r="D19" s="43" t="n">
        <x:f>C19-'净结余测算'!$L$4</x:f>
        <x:v>5726.183333333333</x:v>
      </x:c>
      <x:c r="E19" s="43" t="n">
        <x:f>D19+MIN(MAX(A19,'税费计算'!$E$10),'税费计算'!$E$11)*'税费计算'!$B$10</x:f>
        <x:v>6566.183333333333</x:v>
      </x:c>
      <x:c r="F19" s="44" t="n">
        <x:f>'净结余测算'!$E$4/A19</x:f>
        <x:v>0.10833333333333334</x:v>
      </x:c>
    </x:row>
    <x:row r="20">
      <x:c r="A20" s="43" t="n">
        <x:v>15000</x:v>
      </x:c>
      <x:c r="B20" s="30" t="n">
        <x:v>12</x:v>
      </x:c>
      <x:c r="C20" s="43" t="n">
        <x:f>(A20*B20-MIN(MAX(A20,'税费计算'!$E$8),'税费计算'!$E$9)*'税费计算'!$E$12*12-MIN(MAX(A20,'税费计算'!$E$10),'税费计算'!$E$11)*'税费计算'!$B$10*12-IF(MAX(0,A20*B20-MIN(MAX(A20,'税费计算'!$E$8),'税费计算'!$E$9)*'税费计算'!$E$12*12-MIN(MAX(A20,'税费计算'!$E$10),'税费计算'!$E$11)*'税费计算'!$B$10*12-'税费计算'!$E$13-'税费计算'!$B$11*12)&lt;=36000,MAX(0,A20*B20-MIN(MAX(A20,'税费计算'!$E$8),'税费计算'!$E$9)*'税费计算'!$E$12*12-MIN(MAX(A20,'税费计算'!$E$10),'税费计算'!$E$11)*'税费计算'!$B$10*12-'税费计算'!$E$13-'税费计算'!$B$11*12)*0.03,IF(MAX(0,A20*B20-MIN(MAX(A20,'税费计算'!$E$8),'税费计算'!$E$9)*'税费计算'!$E$12*12-MIN(MAX(A20,'税费计算'!$E$10),'税费计算'!$E$11)*'税费计算'!$B$10*12-'税费计算'!$E$13-'税费计算'!$B$11*12)&lt;=144000,MAX(0,A20*B20-MIN(MAX(A20,'税费计算'!$E$8),'税费计算'!$E$9)*'税费计算'!$E$12*12-MIN(MAX(A20,'税费计算'!$E$10),'税费计算'!$E$11)*'税费计算'!$B$10*12-'税费计算'!$E$13-'税费计算'!$B$11*12)*0.1-2520,IF(MAX(0,A20*B20-MIN(MAX(A20,'税费计算'!$E$8),'税费计算'!$E$9)*'税费计算'!$E$12*12-MIN(MAX(A20,'税费计算'!$E$10),'税费计算'!$E$11)*'税费计算'!$B$10*12-'税费计算'!$E$13-'税费计算'!$B$11*12)&lt;=300000,MAX(0,A20*B20-MIN(MAX(A20,'税费计算'!$E$8),'税费计算'!$E$9)*'税费计算'!$E$12*12-MIN(MAX(A20,'税费计算'!$E$10),'税费计算'!$E$11)*'税费计算'!$B$10*12-'税费计算'!$E$13-'税费计算'!$B$11*12)*0.2-16920,IF(MAX(0,A20*B20-MIN(MAX(A20,'税费计算'!$E$8),'税费计算'!$E$9)*'税费计算'!$E$12*12-MIN(MAX(A20,'税费计算'!$E$10),'税费计算'!$E$11)*'税费计算'!$B$10*12-'税费计算'!$E$13-'税费计算'!$B$11*12)&lt;=420000,MAX(0,A20*B20-MIN(MAX(A20,'税费计算'!$E$8),'税费计算'!$E$9)*'税费计算'!$E$12*12-MIN(MAX(A20,'税费计算'!$E$10),'税费计算'!$E$11)*'税费计算'!$B$10*12-'税费计算'!$E$13-'税费计算'!$B$11*12)*0.25-31920,IF(MAX(0,A20*B20-MIN(MAX(A20,'税费计算'!$E$8),'税费计算'!$E$9)*'税费计算'!$E$12*12-MIN(MAX(A20,'税费计算'!$E$10),'税费计算'!$E$11)*'税费计算'!$B$10*12-'税费计算'!$E$13-'税费计算'!$B$11*12)&lt;=660000,MAX(0,A20*B20-MIN(MAX(A20,'税费计算'!$E$8),'税费计算'!$E$9)*'税费计算'!$E$12*12-MIN(MAX(A20,'税费计算'!$E$10),'税费计算'!$E$11)*'税费计算'!$B$10*12-'税费计算'!$E$13-'税费计算'!$B$11*12)*0.3-52920,IF(MAX(0,A20*B20-MIN(MAX(A20,'税费计算'!$E$8),'税费计算'!$E$9)*'税费计算'!$E$12*12-MIN(MAX(A20,'税费计算'!$E$10),'税费计算'!$E$11)*'税费计算'!$B$10*12-'税费计算'!$E$13-'税费计算'!$B$11*12)&lt;=960000,MAX(0,A20*B20-MIN(MAX(A20,'税费计算'!$E$8),'税费计算'!$E$9)*'税费计算'!$E$12*12-MIN(MAX(A20,'税费计算'!$E$10),'税费计算'!$E$11)*'税费计算'!$B$10*12-'税费计算'!$E$13-'税费计算'!$B$11*12)*0.35-85920,MAX(0,A20*B20-MIN(MAX(A20,'税费计算'!$E$8),'税费计算'!$E$9)*'税费计算'!$E$12*12-MIN(MAX(A20,'税费计算'!$E$10),'税费计算'!$E$11)*'税费计算'!$B$10*12-'税费计算'!$E$13-'税费计算'!$B$11*12)*0.45-181920)))))))/12</x:f>
        <x:v>11997.5</x:v>
      </x:c>
      <x:c r="D20" s="43" t="n">
        <x:f>C20-'净结余测算'!$L$4</x:f>
        <x:v>7953.683333333333</x:v>
      </x:c>
      <x:c r="E20" s="43" t="n">
        <x:f>D20+MIN(MAX(A20,'税费计算'!$E$10),'税费计算'!$E$11)*'税费计算'!$B$10</x:f>
        <x:v>9003.683333333334</x:v>
      </x:c>
      <x:c r="F20" s="44" t="n">
        <x:f>'净结余测算'!$E$4/A20</x:f>
        <x:v>0.08666666666666667</x:v>
      </x:c>
    </x:row>
    <x:row r="21">
      <x:c r="A21" s="43" t="n">
        <x:v>10000</x:v>
      </x:c>
      <x:c r="B21" s="30" t="n">
        <x:v>13</x:v>
      </x:c>
      <x:c r="C21" s="43" t="n">
        <x:f>(A21*B21-MIN(MAX(A21,'税费计算'!$E$8),'税费计算'!$E$9)*'税费计算'!$E$12*12-MIN(MAX(A21,'税费计算'!$E$10),'税费计算'!$E$11)*'税费计算'!$B$10*12-IF(MAX(0,A21*B21-MIN(MAX(A21,'税费计算'!$E$8),'税费计算'!$E$9)*'税费计算'!$E$12*12-MIN(MAX(A21,'税费计算'!$E$10),'税费计算'!$E$11)*'税费计算'!$B$10*12-'税费计算'!$E$13-'税费计算'!$B$11*12)&lt;=36000,MAX(0,A21*B21-MIN(MAX(A21,'税费计算'!$E$8),'税费计算'!$E$9)*'税费计算'!$E$12*12-MIN(MAX(A21,'税费计算'!$E$10),'税费计算'!$E$11)*'税费计算'!$B$10*12-'税费计算'!$E$13-'税费计算'!$B$11*12)*0.03,IF(MAX(0,A21*B21-MIN(MAX(A21,'税费计算'!$E$8),'税费计算'!$E$9)*'税费计算'!$E$12*12-MIN(MAX(A21,'税费计算'!$E$10),'税费计算'!$E$11)*'税费计算'!$B$10*12-'税费计算'!$E$13-'税费计算'!$B$11*12)&lt;=144000,MAX(0,A21*B21-MIN(MAX(A21,'税费计算'!$E$8),'税费计算'!$E$9)*'税费计算'!$E$12*12-MIN(MAX(A21,'税费计算'!$E$10),'税费计算'!$E$11)*'税费计算'!$B$10*12-'税费计算'!$E$13-'税费计算'!$B$11*12)*0.1-2520,IF(MAX(0,A21*B21-MIN(MAX(A21,'税费计算'!$E$8),'税费计算'!$E$9)*'税费计算'!$E$12*12-MIN(MAX(A21,'税费计算'!$E$10),'税费计算'!$E$11)*'税费计算'!$B$10*12-'税费计算'!$E$13-'税费计算'!$B$11*12)&lt;=300000,MAX(0,A21*B21-MIN(MAX(A21,'税费计算'!$E$8),'税费计算'!$E$9)*'税费计算'!$E$12*12-MIN(MAX(A21,'税费计算'!$E$10),'税费计算'!$E$11)*'税费计算'!$B$10*12-'税费计算'!$E$13-'税费计算'!$B$11*12)*0.2-16920,IF(MAX(0,A21*B21-MIN(MAX(A21,'税费计算'!$E$8),'税费计算'!$E$9)*'税费计算'!$E$12*12-MIN(MAX(A21,'税费计算'!$E$10),'税费计算'!$E$11)*'税费计算'!$B$10*12-'税费计算'!$E$13-'税费计算'!$B$11*12)&lt;=420000,MAX(0,A21*B21-MIN(MAX(A21,'税费计算'!$E$8),'税费计算'!$E$9)*'税费计算'!$E$12*12-MIN(MAX(A21,'税费计算'!$E$10),'税费计算'!$E$11)*'税费计算'!$B$10*12-'税费计算'!$E$13-'税费计算'!$B$11*12)*0.25-31920,IF(MAX(0,A21*B21-MIN(MAX(A21,'税费计算'!$E$8),'税费计算'!$E$9)*'税费计算'!$E$12*12-MIN(MAX(A21,'税费计算'!$E$10),'税费计算'!$E$11)*'税费计算'!$B$10*12-'税费计算'!$E$13-'税费计算'!$B$11*12)&lt;=660000,MAX(0,A21*B21-MIN(MAX(A21,'税费计算'!$E$8),'税费计算'!$E$9)*'税费计算'!$E$12*12-MIN(MAX(A21,'税费计算'!$E$10),'税费计算'!$E$11)*'税费计算'!$B$10*12-'税费计算'!$E$13-'税费计算'!$B$11*12)*0.3-52920,IF(MAX(0,A21*B21-MIN(MAX(A21,'税费计算'!$E$8),'税费计算'!$E$9)*'税费计算'!$E$12*12-MIN(MAX(A21,'税费计算'!$E$10),'税费计算'!$E$11)*'税费计算'!$B$10*12-'税费计算'!$E$13-'税费计算'!$B$11*12)&lt;=960000,MAX(0,A21*B21-MIN(MAX(A21,'税费计算'!$E$8),'税费计算'!$E$9)*'税费计算'!$E$12*12-MIN(MAX(A21,'税费计算'!$E$10),'税费计算'!$E$11)*'税费计算'!$B$10*12-'税费计算'!$E$13-'税费计算'!$B$11*12)*0.35-85920,MAX(0,A21*B21-MIN(MAX(A21,'税费计算'!$E$8),'税费计算'!$E$9)*'税费计算'!$E$12*12-MIN(MAX(A21,'税费计算'!$E$10),'税费计算'!$E$11)*'税费计算'!$B$10*12-'税费计算'!$E$13-'税费计算'!$B$11*12)*0.45-181920)))))))/12</x:f>
        <x:v>9005.833333333334</x:v>
      </x:c>
      <x:c r="D21" s="43" t="n">
        <x:f>C21-'净结余测算'!$L$4</x:f>
        <x:v>4962.016666666667</x:v>
      </x:c>
      <x:c r="E21" s="43" t="n">
        <x:f>D21+MIN(MAX(A21,'税费计算'!$E$10),'税费计算'!$E$11)*'税费计算'!$B$10</x:f>
        <x:v>5662.016666666667</x:v>
      </x:c>
      <x:c r="F21" s="44" t="n">
        <x:f>'净结余测算'!$E$4/A21</x:f>
        <x:v>0.13</x:v>
      </x:c>
    </x:row>
    <x:row r="22">
      <x:c r="A22" s="43" t="n">
        <x:v>10000</x:v>
      </x:c>
      <x:c r="B22" s="30" t="n">
        <x:v>16</x:v>
      </x:c>
      <x:c r="C22" s="43" t="n">
        <x:f>(A22*B22-MIN(MAX(A22,'税费计算'!$E$8),'税费计算'!$E$9)*'税费计算'!$E$12*12-MIN(MAX(A22,'税费计算'!$E$10),'税费计算'!$E$11)*'税费计算'!$B$10*12-IF(MAX(0,A22*B22-MIN(MAX(A22,'税费计算'!$E$8),'税费计算'!$E$9)*'税费计算'!$E$12*12-MIN(MAX(A22,'税费计算'!$E$10),'税费计算'!$E$11)*'税费计算'!$B$10*12-'税费计算'!$E$13-'税费计算'!$B$11*12)&lt;=36000,MAX(0,A22*B22-MIN(MAX(A22,'税费计算'!$E$8),'税费计算'!$E$9)*'税费计算'!$E$12*12-MIN(MAX(A22,'税费计算'!$E$10),'税费计算'!$E$11)*'税费计算'!$B$10*12-'税费计算'!$E$13-'税费计算'!$B$11*12)*0.03,IF(MAX(0,A22*B22-MIN(MAX(A22,'税费计算'!$E$8),'税费计算'!$E$9)*'税费计算'!$E$12*12-MIN(MAX(A22,'税费计算'!$E$10),'税费计算'!$E$11)*'税费计算'!$B$10*12-'税费计算'!$E$13-'税费计算'!$B$11*12)&lt;=144000,MAX(0,A22*B22-MIN(MAX(A22,'税费计算'!$E$8),'税费计算'!$E$9)*'税费计算'!$E$12*12-MIN(MAX(A22,'税费计算'!$E$10),'税费计算'!$E$11)*'税费计算'!$B$10*12-'税费计算'!$E$13-'税费计算'!$B$11*12)*0.1-2520,IF(MAX(0,A22*B22-MIN(MAX(A22,'税费计算'!$E$8),'税费计算'!$E$9)*'税费计算'!$E$12*12-MIN(MAX(A22,'税费计算'!$E$10),'税费计算'!$E$11)*'税费计算'!$B$10*12-'税费计算'!$E$13-'税费计算'!$B$11*12)&lt;=300000,MAX(0,A22*B22-MIN(MAX(A22,'税费计算'!$E$8),'税费计算'!$E$9)*'税费计算'!$E$12*12-MIN(MAX(A22,'税费计算'!$E$10),'税费计算'!$E$11)*'税费计算'!$B$10*12-'税费计算'!$E$13-'税费计算'!$B$11*12)*0.2-16920,IF(MAX(0,A22*B22-MIN(MAX(A22,'税费计算'!$E$8),'税费计算'!$E$9)*'税费计算'!$E$12*12-MIN(MAX(A22,'税费计算'!$E$10),'税费计算'!$E$11)*'税费计算'!$B$10*12-'税费计算'!$E$13-'税费计算'!$B$11*12)&lt;=420000,MAX(0,A22*B22-MIN(MAX(A22,'税费计算'!$E$8),'税费计算'!$E$9)*'税费计算'!$E$12*12-MIN(MAX(A22,'税费计算'!$E$10),'税费计算'!$E$11)*'税费计算'!$B$10*12-'税费计算'!$E$13-'税费计算'!$B$11*12)*0.25-31920,IF(MAX(0,A22*B22-MIN(MAX(A22,'税费计算'!$E$8),'税费计算'!$E$9)*'税费计算'!$E$12*12-MIN(MAX(A22,'税费计算'!$E$10),'税费计算'!$E$11)*'税费计算'!$B$10*12-'税费计算'!$E$13-'税费计算'!$B$11*12)&lt;=660000,MAX(0,A22*B22-MIN(MAX(A22,'税费计算'!$E$8),'税费计算'!$E$9)*'税费计算'!$E$12*12-MIN(MAX(A22,'税费计算'!$E$10),'税费计算'!$E$11)*'税费计算'!$B$10*12-'税费计算'!$E$13-'税费计算'!$B$11*12)*0.3-52920,IF(MAX(0,A22*B22-MIN(MAX(A22,'税费计算'!$E$8),'税费计算'!$E$9)*'税费计算'!$E$12*12-MIN(MAX(A22,'税费计算'!$E$10),'税费计算'!$E$11)*'税费计算'!$B$10*12-'税费计算'!$E$13-'税费计算'!$B$11*12)&lt;=960000,MAX(0,A22*B22-MIN(MAX(A22,'税费计算'!$E$8),'税费计算'!$E$9)*'税费计算'!$E$12*12-MIN(MAX(A22,'税费计算'!$E$10),'税费计算'!$E$11)*'税费计算'!$B$10*12-'税费计算'!$E$13-'税费计算'!$B$11*12)*0.35-85920,MAX(0,A22*B22-MIN(MAX(A22,'税费计算'!$E$8),'税费计算'!$E$9)*'税费计算'!$E$12*12-MIN(MAX(A22,'税费计算'!$E$10),'税费计算'!$E$11)*'税费计算'!$B$10*12-'税费计算'!$E$13-'税费计算'!$B$11*12)*0.45-181920)))))))/12</x:f>
        <x:v>11285</x:v>
      </x:c>
      <x:c r="D22" s="43" t="n">
        <x:f>C22-'净结余测算'!$L$4</x:f>
        <x:v>7241.183333333333</x:v>
      </x:c>
      <x:c r="E22" s="43" t="n">
        <x:f>D22+MIN(MAX(A22,'税费计算'!$E$10),'税费计算'!$E$11)*'税费计算'!$B$10</x:f>
        <x:v>7941.183333333333</x:v>
      </x:c>
      <x:c r="F22" s="44" t="n">
        <x:f>'净结余测算'!$E$4/A22</x:f>
        <x:v>0.13</x:v>
      </x:c>
    </x:row>
    <x:row r="25" ht="84" customHeight="1">
      <x:c r="A25" s="29" t="str">
        <x:v>所有结果都由税费计算、住房预设和生活假设联动。当前工资是可编辑压力测试输入，不是招聘广告观测值。</x:v>
      </x:c>
    </x:row>
    <x:row r="27" ht="76" customHeight="1">
      <x:c r="A27" s="29" t="str">
        <x:v>净结余不等同于可支配现金的永久承诺；绩效、奖金、单位公积金、医疗、旅行和家庭支持未自动计入。</x:v>
      </x:c>
    </x:row>
  </x:sheetData>
  <x:conditionalFormatting sqref="N8:N12">
    <x:cfRule type="expression" dxfId="0" priority="1">
      <x:formula>N8&lt;0</x:formula>
    </x:cfRule>
  </x:conditionalFormatting>
  <x:conditionalFormatting sqref="P8:P12">
    <x:cfRule type="expression" dxfId="1" priority="2">
      <x:formula>P8&gt;0.3</x:formula>
    </x:cfRule>
  </x:conditionalFormatting>
  <x:pageMargins left="0.7" right="0.7" top="0.75" bottom="0.75" header="0.3" footer="0.3"/>
  <x:drawing xmlns:r="http://schemas.openxmlformats.org/officeDocument/2006/relationships" r:id="Rbbe2e3a8785d4a5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2" hidden="0" customWidth="1"/>
    <x:col min="6" max="6" width="14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16" hidden="0" customWidth="1"/>
    <x:col min="13" max="13" width="16" hidden="0" customWidth="1"/>
    <x:col min="14" max="14" width="13" hidden="0" customWidth="1"/>
    <x:col min="15" max="15" width="18" hidden="0" customWidth="1"/>
    <x:col min="16" max="16" width="11" hidden="0" customWidth="1"/>
    <x:col min="17" max="17" width="2" hidden="0" customWidth="1"/>
    <x:col min="18" max="18" width="50" hidden="0" customWidth="1"/>
  </x:cols>
  <x:sheetData>
    <x:row r="2" ht="28" customHeight="1">
      <x:c r="A2" s="3" t="str">
        <x:v>五种住房情景的首月现金门槛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5" ht="32" customHeight="1">
      <x:c r="A5" s="21" t="str">
        <x:v>情景</x:v>
      </x:c>
      <x:c r="B5" s="21" t="str">
        <x:v>月租</x:v>
      </x:c>
      <x:c r="C5" s="21" t="str">
        <x:v>押金现金</x:v>
      </x:c>
      <x:c r="D5" s="21" t="str">
        <x:v>预付租金</x:v>
      </x:c>
      <x:c r="E5" s="21" t="str">
        <x:v>中介费</x:v>
      </x:c>
      <x:c r="F5" s="21" t="str">
        <x:v>月度服务费</x:v>
      </x:c>
      <x:c r="G5" s="21" t="str">
        <x:v>一次性服务费</x:v>
      </x:c>
      <x:c r="H5" s="21" t="str">
        <x:v>水电气网</x:v>
      </x:c>
      <x:c r="I5" s="21" t="str">
        <x:v>餐饮</x:v>
      </x:c>
      <x:c r="J5" s="21" t="str">
        <x:v>通勤</x:v>
      </x:c>
      <x:c r="K5" s="21" t="str">
        <x:v>其他固定支出</x:v>
      </x:c>
      <x:c r="L5" s="21" t="str">
        <x:v>其他一次性支出</x:v>
      </x:c>
      <x:c r="M5" s="21" t="str">
        <x:v>首月最低现金</x:v>
      </x:c>
      <x:c r="N5" s="21" t="str">
        <x:v>应急缓冲</x:v>
      </x:c>
      <x:c r="O5" s="21" t="str">
        <x:v>建议储备</x:v>
      </x:c>
      <x:c r="P5" s="21" t="str">
        <x:v>证据</x:v>
      </x:c>
    </x:row>
    <x:row r="6">
      <x:c r="A6" s="57" t="str">
        <x:f>'住房预设'!A6</x:f>
        <x:v>1 合租-直租</x:v>
      </x:c>
      <x:c r="B6" s="58" t="n">
        <x:f>'住房预设'!B6</x:f>
        <x:v>1200</x:v>
      </x:c>
      <x:c r="C6" s="38" t="n">
        <x:f>B6*'住房预设'!C6</x:f>
        <x:v>1200</x:v>
      </x:c>
      <x:c r="D6" s="38" t="n">
        <x:f>B6*'住房预设'!D6</x:f>
        <x:v>1200</x:v>
      </x:c>
      <x:c r="E6" s="38" t="n">
        <x:f>B6*'住房预设'!E6</x:f>
        <x:v>0</x:v>
      </x:c>
      <x:c r="F6" s="58" t="n">
        <x:f>'住房预设'!F6</x:f>
        <x:v>0</x:v>
      </x:c>
      <x:c r="G6" s="58" t="n">
        <x:f>'住房预设'!G6</x:f>
        <x:v>0</x:v>
      </x:c>
      <x:c r="H6" s="58" t="n">
        <x:f>SUM('住房预设'!H6:K6)</x:f>
        <x:v>145.9</x:v>
      </x:c>
      <x:c r="I6" s="58" t="n">
        <x:f>'生活假设'!G3</x:f>
        <x:v>2100</x:v>
      </x:c>
      <x:c r="J6" s="58" t="n">
        <x:f>'住房预设'!L6</x:f>
        <x:v>160</x:v>
      </x:c>
      <x:c r="K6" s="58" t="n">
        <x:f>'生活假设'!B14</x:f>
        <x:v>300</x:v>
      </x:c>
      <x:c r="L6" s="58" t="n">
        <x:f>'生活假设'!B16</x:f>
        <x:v>0</x:v>
      </x:c>
      <x:c r="M6" s="62" t="n">
        <x:f>SUM(C6:L6)</x:f>
        <x:v>5105.9</x:v>
      </x:c>
      <x:c r="N6" s="62" t="n">
        <x:f>'生活假设'!B15</x:f>
        <x:v>2000</x:v>
      </x:c>
      <x:c r="O6" s="62" t="n">
        <x:f>M6+N6</x:f>
        <x:v>7105.9</x:v>
      </x:c>
      <x:c r="P6" s="57" t="str">
        <x:f>'住房预设'!M6</x:f>
        <x:v>C</x:v>
      </x:c>
    </x:row>
    <x:row r="7">
      <x:c r="A7" s="59" t="str">
        <x:f>'住房预设'!A7</x:f>
        <x:v>2 合租-中介押一付三</x:v>
      </x:c>
      <x:c r="B7" s="60" t="n">
        <x:f>'住房预设'!B7</x:f>
        <x:v>1300</x:v>
      </x:c>
      <x:c r="C7" s="38" t="n">
        <x:f>B7*'住房预设'!C7</x:f>
        <x:v>1300</x:v>
      </x:c>
      <x:c r="D7" s="38" t="n">
        <x:f>B7*'住房预设'!D7</x:f>
        <x:v>3900</x:v>
      </x:c>
      <x:c r="E7" s="38" t="n">
        <x:f>B7*'住房预设'!E7</x:f>
        <x:v>454.99999999999994</x:v>
      </x:c>
      <x:c r="F7" s="60" t="n">
        <x:f>'住房预设'!F7</x:f>
        <x:v>0</x:v>
      </x:c>
      <x:c r="G7" s="60" t="n">
        <x:f>'住房预设'!G7</x:f>
        <x:v>0</x:v>
      </x:c>
      <x:c r="H7" s="60" t="n">
        <x:f>SUM('住房预设'!H7:K7)</x:f>
        <x:v>145.9</x:v>
      </x:c>
      <x:c r="I7" s="60" t="n">
        <x:f>'生活假设'!G3</x:f>
        <x:v>2100</x:v>
      </x:c>
      <x:c r="J7" s="60" t="n">
        <x:f>'住房预设'!L7</x:f>
        <x:v>160</x:v>
      </x:c>
      <x:c r="K7" s="60" t="n">
        <x:f>'生活假设'!B14</x:f>
        <x:v>300</x:v>
      </x:c>
      <x:c r="L7" s="60" t="n">
        <x:f>'生活假设'!B16</x:f>
        <x:v>0</x:v>
      </x:c>
      <x:c r="M7" s="62" t="n">
        <x:f>SUM(C7:L7)</x:f>
        <x:v>8360.9</x:v>
      </x:c>
      <x:c r="N7" s="62" t="n">
        <x:f>'生活假设'!B15</x:f>
        <x:v>2000</x:v>
      </x:c>
      <x:c r="O7" s="62" t="n">
        <x:f>M7+N7</x:f>
        <x:v>10360.9</x:v>
      </x:c>
      <x:c r="P7" s="59" t="str">
        <x:f>'住房预设'!M7</x:f>
        <x:v>C</x:v>
      </x:c>
    </x:row>
    <x:row r="8">
      <x:c r="A8" s="57" t="str">
        <x:f>'住房预设'!A8</x:f>
        <x:v>3 整租-直租</x:v>
      </x:c>
      <x:c r="B8" s="58" t="n">
        <x:f>'住房预设'!B8</x:f>
        <x:v>2200</x:v>
      </x:c>
      <x:c r="C8" s="38" t="n">
        <x:f>B8*'住房预设'!C8</x:f>
        <x:v>2200</x:v>
      </x:c>
      <x:c r="D8" s="38" t="n">
        <x:f>B8*'住房预设'!D8</x:f>
        <x:v>2200</x:v>
      </x:c>
      <x:c r="E8" s="38" t="n">
        <x:f>B8*'住房预设'!E8</x:f>
        <x:v>0</x:v>
      </x:c>
      <x:c r="F8" s="58" t="n">
        <x:f>'住房预设'!F8</x:f>
        <x:v>0</x:v>
      </x:c>
      <x:c r="G8" s="58" t="n">
        <x:f>'住房预设'!G8</x:f>
        <x:v>0</x:v>
      </x:c>
      <x:c r="H8" s="58" t="n">
        <x:f>SUM('住房预设'!H8:K8)</x:f>
        <x:v>208.24</x:v>
      </x:c>
      <x:c r="I8" s="58" t="n">
        <x:f>'生活假设'!G3</x:f>
        <x:v>2100</x:v>
      </x:c>
      <x:c r="J8" s="58" t="n">
        <x:f>'住房预设'!L8</x:f>
        <x:v>160</x:v>
      </x:c>
      <x:c r="K8" s="58" t="n">
        <x:f>'生活假设'!B14</x:f>
        <x:v>300</x:v>
      </x:c>
      <x:c r="L8" s="58" t="n">
        <x:f>'生活假设'!B16</x:f>
        <x:v>0</x:v>
      </x:c>
      <x:c r="M8" s="62" t="n">
        <x:f>SUM(C8:L8)</x:f>
        <x:v>7168.24</x:v>
      </x:c>
      <x:c r="N8" s="62" t="n">
        <x:f>'生活假设'!B15</x:f>
        <x:v>2000</x:v>
      </x:c>
      <x:c r="O8" s="62" t="n">
        <x:f>M8+N8</x:f>
        <x:v>9168.24</x:v>
      </x:c>
      <x:c r="P8" s="57" t="str">
        <x:f>'住房预设'!M8</x:f>
        <x:v>C</x:v>
      </x:c>
    </x:row>
    <x:row r="9">
      <x:c r="A9" s="59" t="str">
        <x:f>'住房预设'!A9</x:f>
        <x:v>4 整租-中介押一付三</x:v>
      </x:c>
      <x:c r="B9" s="60" t="n">
        <x:f>'住房预设'!B9</x:f>
        <x:v>2200</x:v>
      </x:c>
      <x:c r="C9" s="38" t="n">
        <x:f>B9*'住房预设'!C9</x:f>
        <x:v>2200</x:v>
      </x:c>
      <x:c r="D9" s="38" t="n">
        <x:f>B9*'住房预设'!D9</x:f>
        <x:v>6600</x:v>
      </x:c>
      <x:c r="E9" s="38" t="n">
        <x:f>B9*'住房预设'!E9</x:f>
        <x:v>770</x:v>
      </x:c>
      <x:c r="F9" s="60" t="n">
        <x:f>'住房预设'!F9</x:f>
        <x:v>0</x:v>
      </x:c>
      <x:c r="G9" s="60" t="n">
        <x:f>'住房预设'!G9</x:f>
        <x:v>0</x:v>
      </x:c>
      <x:c r="H9" s="60" t="n">
        <x:f>SUM('住房预设'!H9:K9)</x:f>
        <x:v>208.24</x:v>
      </x:c>
      <x:c r="I9" s="60" t="n">
        <x:f>'生活假设'!G3</x:f>
        <x:v>2100</x:v>
      </x:c>
      <x:c r="J9" s="60" t="n">
        <x:f>'住房预设'!L9</x:f>
        <x:v>160</x:v>
      </x:c>
      <x:c r="K9" s="60" t="n">
        <x:f>'生活假设'!B14</x:f>
        <x:v>300</x:v>
      </x:c>
      <x:c r="L9" s="60" t="n">
        <x:f>'生活假设'!B16</x:f>
        <x:v>0</x:v>
      </x:c>
      <x:c r="M9" s="62" t="n">
        <x:f>SUM(C9:L9)</x:f>
        <x:v>12338.24</x:v>
      </x:c>
      <x:c r="N9" s="62" t="n">
        <x:f>'生活假设'!B15</x:f>
        <x:v>2000</x:v>
      </x:c>
      <x:c r="O9" s="62" t="n">
        <x:f>M9+N9</x:f>
        <x:v>14338.24</x:v>
      </x:c>
      <x:c r="P9" s="59" t="str">
        <x:f>'住房预设'!M9</x:f>
        <x:v>C</x:v>
      </x:c>
    </x:row>
    <x:row r="10">
      <x:c r="A10" s="57" t="str">
        <x:f>'住房预设'!A10</x:f>
        <x:v>5 人才公寓-条件情景</x:v>
      </x:c>
      <x:c r="B10" s="58" t="n">
        <x:f>'住房预设'!B10</x:f>
        <x:v>1500</x:v>
      </x:c>
      <x:c r="C10" s="38" t="n">
        <x:f>B10*'住房预设'!C10</x:f>
        <x:v>1500</x:v>
      </x:c>
      <x:c r="D10" s="38" t="n">
        <x:f>B10*'住房预设'!D10</x:f>
        <x:v>1500</x:v>
      </x:c>
      <x:c r="E10" s="38" t="n">
        <x:f>B10*'住房预设'!E10</x:f>
        <x:v>0</x:v>
      </x:c>
      <x:c r="F10" s="58" t="n">
        <x:f>'住房预设'!F10</x:f>
        <x:v>0</x:v>
      </x:c>
      <x:c r="G10" s="58" t="n">
        <x:f>'住房预设'!G10</x:f>
        <x:v>0</x:v>
      </x:c>
      <x:c r="H10" s="58" t="n">
        <x:f>SUM('住房预设'!H10:K10)</x:f>
        <x:v>208.24</x:v>
      </x:c>
      <x:c r="I10" s="58" t="n">
        <x:f>'生活假设'!G3</x:f>
        <x:v>2100</x:v>
      </x:c>
      <x:c r="J10" s="58" t="n">
        <x:f>'住房预设'!L10</x:f>
        <x:v>180</x:v>
      </x:c>
      <x:c r="K10" s="58" t="n">
        <x:f>'生活假设'!B14</x:f>
        <x:v>300</x:v>
      </x:c>
      <x:c r="L10" s="58" t="n">
        <x:f>'生活假设'!B16</x:f>
        <x:v>0</x:v>
      </x:c>
      <x:c r="M10" s="62" t="n">
        <x:f>SUM(C10:L10)</x:f>
        <x:v>5788.24</x:v>
      </x:c>
      <x:c r="N10" s="62" t="n">
        <x:f>'生活假设'!B15</x:f>
        <x:v>2000</x:v>
      </x:c>
      <x:c r="O10" s="62" t="n">
        <x:f>M10+N10</x:f>
        <x:v>7788.24</x:v>
      </x:c>
      <x:c r="P10" s="57" t="str">
        <x:f>'住房预设'!M10</x:f>
        <x:v>A</x:v>
      </x:c>
    </x:row>
    <x:row r="12" ht="78" customHeight="1">
      <x:c r="R12" s="29" t="str">
        <x:v>首月现金含押金、预付租金、中介费、一次性服务费、当月水电气网、餐饮、通勤和固定支出；不是只付一个月房租。</x:v>
      </x:c>
    </x:row>
    <x:row r="13" ht="32" customHeight="1">
      <x:c r="A13" s="21" t="str">
        <x:v>当前选择</x:v>
      </x:c>
      <x:c r="B13" s="21" t="str">
        <x:v>结果</x:v>
      </x:c>
    </x:row>
    <x:row r="14" ht="42" customHeight="1">
      <x:c r="A14" s="30" t="str">
        <x:v>当前情景</x:v>
      </x:c>
      <x:c r="B14" s="30" t="str">
        <x:f>INDEX(A6:A10,'住房预设'!B3)</x:f>
        <x:v>2 合租-中介押一付三</x:v>
      </x:c>
    </x:row>
    <x:row r="15">
      <x:c r="A15" s="30" t="str">
        <x:v>首月最低现金</x:v>
      </x:c>
      <x:c r="B15" s="43" t="n">
        <x:f>INDEX(M6:M10,'住房预设'!B3)</x:f>
        <x:v>8360.9</x:v>
      </x:c>
    </x:row>
    <x:row r="16">
      <x:c r="A16" s="30" t="str">
        <x:v>建议储备（含缓冲）</x:v>
      </x:c>
      <x:c r="B16" s="43" t="n">
        <x:f>INDEX(O6:O10,'住房预设'!B3)</x:f>
        <x:v>10360.9</x:v>
      </x:c>
    </x:row>
    <x:row r="19" ht="78" customHeight="1">
      <x:c r="R19" s="29" t="str">
        <x:v>应急缓冲是规划余量，不是所有人都足够。搬家、床品、厨具、体检和延迟发薪会进一步抬高门槛。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9" ySplit="5" topLeftCell="J6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42" hidden="0" customWidth="1"/>
    <x:col min="4" max="4" width="12" hidden="0" customWidth="1"/>
    <x:col min="5" max="5" width="26" hidden="0" customWidth="1"/>
    <x:col min="6" max="6" width="8" hidden="0" customWidth="1"/>
    <x:col min="7" max="7" width="12" hidden="0" customWidth="1"/>
    <x:col min="8" max="8" width="34" hidden="0" customWidth="1"/>
    <x:col min="9" max="9" width="38" hidden="0" customWidth="1"/>
    <x:col min="10" max="10" width="18" hidden="0" customWidth="1"/>
    <x:col min="11" max="11" width="12" hidden="0" customWidth="1"/>
    <x:col min="12" max="12" width="12" hidden="0" customWidth="1"/>
    <x:col min="13" max="13" width="11" hidden="0" customWidth="1"/>
    <x:col min="14" max="14" width="15" hidden="0" customWidth="1"/>
    <x:col min="15" max="15" width="12" hidden="0" customWidth="1"/>
    <x:col min="16" max="16" width="13" hidden="0" customWidth="1"/>
    <x:col min="17" max="17" width="15" hidden="0" customWidth="1"/>
    <x:col min="18" max="18" width="14" hidden="0" customWidth="1"/>
    <x:col min="19" max="19" width="30" hidden="0" customWidth="1"/>
    <x:col min="20" max="20" width="8" hidden="0" customWidth="1"/>
    <x:col min="21" max="21" width="11" hidden="0" customWidth="1"/>
    <x:col min="22" max="22" width="11" hidden="0" customWidth="1"/>
    <x:col min="23" max="23" width="11" hidden="0" customWidth="1"/>
    <x:col min="24" max="24" width="52" hidden="0" customWidth="1"/>
    <x:col min="25" max="25" width="13" hidden="0" customWidth="1"/>
    <x:col min="26" max="26" width="15" hidden="0" customWidth="1"/>
    <x:col min="27" max="27" width="15" hidden="0" customWidth="1"/>
    <x:col min="28" max="28" width="2" hidden="0" customWidth="1"/>
    <x:col min="29" max="29" width="52" hidden="0" customWidth="1"/>
  </x:cols>
  <x:sheetData>
    <x:row r="2" ht="28" customHeight="1">
      <x:c r="A2" s="3" t="str">
        <x:v>临港电气、自动化与设备岗位明细及筛选记录</x:v>
      </x:c>
    </x:row>
    <x:row r="3" ht="3" customHeight="1">
      <x:c r="A3" s="4"/>
    </x:row>
    <x:row r="5" ht="32" customHeight="1">
      <x:c r="A5" s="21" t="str">
        <x:v>职位ID</x:v>
      </x:c>
      <x:c r="B5" s="21" t="str">
        <x:v>来源</x:v>
      </x:c>
      <x:c r="C5" s="21" t="str">
        <x:v>原始URL</x:v>
      </x:c>
      <x:c r="D5" s="21" t="str">
        <x:v>采集日</x:v>
      </x:c>
      <x:c r="E5" s="21" t="str">
        <x:v>查询词</x:v>
      </x:c>
      <x:c r="F5" s="21" t="str">
        <x:v>城市</x:v>
      </x:c>
      <x:c r="G5" s="21" t="str">
        <x:v>区县</x:v>
      </x:c>
      <x:c r="H5" s="21" t="str">
        <x:v>公司</x:v>
      </x:c>
      <x:c r="I5" s="21" t="str">
        <x:v>职位</x:v>
      </x:c>
      <x:c r="J5" s="21" t="str">
        <x:v>岗位族</x:v>
      </x:c>
      <x:c r="K5" s="21" t="str">
        <x:v>月薪下限</x:v>
      </x:c>
      <x:c r="L5" s="21" t="str">
        <x:v>月薪上限</x:v>
      </x:c>
      <x:c r="M5" s="21" t="str">
        <x:v>年发月数</x:v>
      </x:c>
      <x:c r="N5" s="21" t="str">
        <x:v>薪资原文</x:v>
      </x:c>
      <x:c r="O5" s="21" t="str">
        <x:v>学历</x:v>
      </x:c>
      <x:c r="P5" s="21" t="str">
        <x:v>经验</x:v>
      </x:c>
      <x:c r="Q5" s="21" t="str">
        <x:v>薪资类型</x:v>
      </x:c>
      <x:c r="R5" s="21" t="str">
        <x:v>纳入核心分析</x:v>
      </x:c>
      <x:c r="S5" s="21" t="str">
        <x:v>排除原因</x:v>
      </x:c>
      <x:c r="T5" s="21" t="str">
        <x:v>证据</x:v>
      </x:c>
      <x:c r="U5" s="21" t="str">
        <x:v>双休</x:v>
      </x:c>
      <x:c r="V5" s="21" t="str">
        <x:v>出差</x:v>
      </x:c>
      <x:c r="W5" s="21" t="str">
        <x:v>住宿</x:v>
      </x:c>
      <x:c r="X5" s="21" t="str">
        <x:v>关键备注</x:v>
      </x:c>
      <x:c r="Y5" s="21" t="str">
        <x:v>月薪中点</x:v>
      </x:c>
      <x:c r="Z5" s="21" t="str">
        <x:v>年化中点/月</x:v>
      </x:c>
      <x:c r="AA5" s="21" t="str">
        <x:v>公开薪资标记</x:v>
      </x:c>
    </x:row>
    <x:row r="6" ht="84" customHeight="1">
      <x:c r="A6" s="75" t="str">
        <x:v>zhaopin_CC000439650J40870063007</x:v>
      </x:c>
      <x:c r="B6" s="75" t="str">
        <x:v>智联招聘校招</x:v>
      </x:c>
      <x:c r="C6" s="75" t="str">
        <x:v>https://xiaoyuan.zhaopin.com/job/CC000439650J40870063007</x:v>
      </x:c>
      <x:c r="D6" s="76" t="d">
        <x:v>2026-10-26T00:00:00.000Z</x:v>
      </x:c>
      <x:c r="E6" s="75" t="str">
        <x:v>临港 2027 电气 自动化 设备</x:v>
      </x:c>
      <x:c r="F6" s="75" t="str">
        <x:v>上海</x:v>
      </x:c>
      <x:c r="G6" s="75" t="str">
        <x:v>浦东新区</x:v>
      </x:c>
      <x:c r="H6" s="75" t="str">
        <x:v>中芯国际集成电路制造(上海)有限公司</x:v>
      </x:c>
      <x:c r="I6" s="75" t="str">
        <x:v>设备工程师-临港（2027届校招）(J13300)</x:v>
      </x:c>
      <x:c r="J6" s="75" t="str">
        <x:v>设备工程</x:v>
      </x:c>
      <x:c r="K6" s="77"/>
      <x:c r="L6" s="77"/>
      <x:c r="M6" s="75"/>
      <x:c r="N6" s="75" t="str">
        <x:v>面议</x:v>
      </x:c>
      <x:c r="O6" s="75" t="str">
        <x:v>本科</x:v>
      </x:c>
      <x:c r="P6" s="75" t="str">
        <x:v>应届/经验不限</x:v>
      </x:c>
      <x:c r="Q6" s="75" t="str">
        <x:v>negotiable</x:v>
      </x:c>
      <x:c r="R6" s="81" t="str">
        <x:v>yes</x:v>
      </x:c>
      <x:c r="S6" s="75" t="str"/>
      <x:c r="T6" s="75" t="str">
        <x:v>C</x:v>
      </x:c>
      <x:c r="U6" s="75" t="str">
        <x:v>unknown</x:v>
      </x:c>
      <x:c r="V6" s="75" t="str">
        <x:v>unknown</x:v>
      </x:c>
      <x:c r="W6" s="75" t="str">
        <x:v>unknown</x:v>
      </x:c>
      <x:c r="X6" s="75" t="str">
        <x:v>设备安装调试、预防保养和故障排查；薪资、双休、出差均未公开。</x:v>
      </x:c>
      <x:c r="Y6" s="77" t="str">
        <x:f>IF(AND(ISNUMBER(K6),ISNUMBER(L6)),(K6+L6)/2,"")</x:f>
      </x:c>
      <x:c r="Z6" s="77" t="str">
        <x:f>IF(AND(ISNUMBER(Y6),ISNUMBER(M6)),Y6*M6/12,IF(ISNUMBER(Y6),Y6,""))</x:f>
      </x:c>
      <x:c r="AA6" s="77" t="n">
        <x:f>IF(ISNUMBER(Y6),1,0)</x:f>
        <x:v>0</x:v>
      </x:c>
    </x:row>
    <x:row r="7" ht="84" customHeight="1">
      <x:c r="A7" s="78" t="str">
        <x:v>zhaopin_CC000439650J40870063207</x:v>
      </x:c>
      <x:c r="B7" s="78" t="str">
        <x:v>智联招聘校招</x:v>
      </x:c>
      <x:c r="C7" s="78" t="str">
        <x:v>https://xiaoyuan.zhaopin.com/job/CC000439650J40870063207</x:v>
      </x:c>
      <x:c r="D7" s="79" t="d">
        <x:v>2026-10-26T00:00:00.000Z</x:v>
      </x:c>
      <x:c r="E7" s="78" t="str">
        <x:v>临港 2027 电气 自动化 设备</x:v>
      </x:c>
      <x:c r="F7" s="78" t="str">
        <x:v>上海</x:v>
      </x:c>
      <x:c r="G7" s="78" t="str">
        <x:v>浦东新区</x:v>
      </x:c>
      <x:c r="H7" s="78" t="str">
        <x:v>中芯国际集成电路制造(上海)有限公司</x:v>
      </x:c>
      <x:c r="I7" s="78" t="str">
        <x:v>封装设备工程师-临港（2027届校招）(J13308)</x:v>
      </x:c>
      <x:c r="J7" s="78" t="str">
        <x:v>封装设备</x:v>
      </x:c>
      <x:c r="K7" s="80"/>
      <x:c r="L7" s="80"/>
      <x:c r="M7" s="78"/>
      <x:c r="N7" s="78" t="str">
        <x:v>面议</x:v>
      </x:c>
      <x:c r="O7" s="78" t="str">
        <x:v>本科</x:v>
      </x:c>
      <x:c r="P7" s="78" t="str">
        <x:v>应届/经验不限</x:v>
      </x:c>
      <x:c r="Q7" s="78" t="str">
        <x:v>negotiable</x:v>
      </x:c>
      <x:c r="R7" s="81" t="str">
        <x:v>yes</x:v>
      </x:c>
      <x:c r="S7" s="78" t="str"/>
      <x:c r="T7" s="78" t="str">
        <x:v>C</x:v>
      </x:c>
      <x:c r="U7" s="78" t="str">
        <x:v>unknown</x:v>
      </x:c>
      <x:c r="V7" s="78" t="str">
        <x:v>unknown</x:v>
      </x:c>
      <x:c r="W7" s="78" t="str">
        <x:v>unknown</x:v>
      </x:c>
      <x:c r="X7" s="78" t="str">
        <x:v>设备点检、参数校准、故障分析；面向传感器信号和气液路系统；关键条件未公开。</x:v>
      </x:c>
      <x:c r="Y7" s="80" t="str">
        <x:f>IF(AND(ISNUMBER(K7),ISNUMBER(L7)),(K7+L7)/2,"")</x:f>
      </x:c>
      <x:c r="Z7" s="80" t="str">
        <x:f>IF(AND(ISNUMBER(Y7),ISNUMBER(M7)),Y7*M7/12,IF(ISNUMBER(Y7),Y7,""))</x:f>
      </x:c>
      <x:c r="AA7" s="80" t="n">
        <x:f>IF(ISNUMBER(Y7),1,0)</x:f>
        <x:v>0</x:v>
      </x:c>
    </x:row>
    <x:row r="8" ht="84" customHeight="1">
      <x:c r="A8" s="75" t="str">
        <x:v>zhaopin_CC000439650J40881561407</x:v>
      </x:c>
      <x:c r="B8" s="75" t="str">
        <x:v>智联招聘校招</x:v>
      </x:c>
      <x:c r="C8" s="75" t="str">
        <x:v>https://xiaoyuan.zhaopin.com/job/CC000439650J40881561407</x:v>
      </x:c>
      <x:c r="D8" s="76" t="d">
        <x:v>2026-10-26T00:00:00.000Z</x:v>
      </x:c>
      <x:c r="E8" s="75" t="str">
        <x:v>临港 2027 电气 自动化 设备</x:v>
      </x:c>
      <x:c r="F8" s="75" t="str">
        <x:v>上海</x:v>
      </x:c>
      <x:c r="G8" s="75" t="str">
        <x:v>浦东新区</x:v>
      </x:c>
      <x:c r="H8" s="75" t="str">
        <x:v>中芯国际集成电路制造(上海)有限公司</x:v>
      </x:c>
      <x:c r="I8" s="75" t="str">
        <x:v>自动化算法工程师-临港（2027届校招）(J13774)</x:v>
      </x:c>
      <x:c r="J8" s="75" t="str">
        <x:v>自动化算法</x:v>
      </x:c>
      <x:c r="K8" s="77"/>
      <x:c r="L8" s="77"/>
      <x:c r="M8" s="75"/>
      <x:c r="N8" s="75" t="str">
        <x:v>面议</x:v>
      </x:c>
      <x:c r="O8" s="75" t="str">
        <x:v>本科</x:v>
      </x:c>
      <x:c r="P8" s="75" t="str">
        <x:v>应届/经验不限</x:v>
      </x:c>
      <x:c r="Q8" s="75" t="str">
        <x:v>negotiable</x:v>
      </x:c>
      <x:c r="R8" s="81" t="str">
        <x:v>yes</x:v>
      </x:c>
      <x:c r="S8" s="75" t="str"/>
      <x:c r="T8" s="75" t="str">
        <x:v>C</x:v>
      </x:c>
      <x:c r="U8" s="75" t="str">
        <x:v>unknown</x:v>
      </x:c>
      <x:c r="V8" s="75" t="str">
        <x:v>unknown</x:v>
      </x:c>
      <x:c r="W8" s="75" t="str">
        <x:v>unknown</x:v>
      </x:c>
      <x:c r="X8" s="75" t="str">
        <x:v>制造系统、实时派货规则和数据优化；自动化相邻岗位，非传统电气设计。</x:v>
      </x:c>
      <x:c r="Y8" s="77" t="str">
        <x:f>IF(AND(ISNUMBER(K8),ISNUMBER(L8)),(K8+L8)/2,"")</x:f>
      </x:c>
      <x:c r="Z8" s="77" t="str">
        <x:f>IF(AND(ISNUMBER(Y8),ISNUMBER(M8)),Y8*M8/12,IF(ISNUMBER(Y8),Y8,""))</x:f>
      </x:c>
      <x:c r="AA8" s="77" t="n">
        <x:f>IF(ISNUMBER(Y8),1,0)</x:f>
        <x:v>0</x:v>
      </x:c>
    </x:row>
    <x:row r="9" ht="84" customHeight="1">
      <x:c r="A9" s="78" t="str">
        <x:v>zhaopin_CC000439650J40870065707</x:v>
      </x:c>
      <x:c r="B9" s="78" t="str">
        <x:v>智联招聘</x:v>
      </x:c>
      <x:c r="C9" s="78" t="str">
        <x:v>https://m.zhaopin.com/jobs/CC000439650J40870065707.htm</x:v>
      </x:c>
      <x:c r="D9" s="79" t="d">
        <x:v>2026-10-26T00:00:00.000Z</x:v>
      </x:c>
      <x:c r="E9" s="78" t="str">
        <x:v>临港 2027 电气 自动化 设备</x:v>
      </x:c>
      <x:c r="F9" s="78" t="str">
        <x:v>上海</x:v>
      </x:c>
      <x:c r="G9" s="78" t="str">
        <x:v>浦东新区</x:v>
      </x:c>
      <x:c r="H9" s="78" t="str">
        <x:v>中芯国际集成电路制造(上海)有限公司</x:v>
      </x:c>
      <x:c r="I9" s="78" t="str">
        <x:v>封装生产运筹工程师-临港（2027届校招）</x:v>
      </x:c>
      <x:c r="J9" s="78" t="str">
        <x:v>生产运筹</x:v>
      </x:c>
      <x:c r="K9" s="80"/>
      <x:c r="L9" s="80"/>
      <x:c r="M9" s="78"/>
      <x:c r="N9" s="78" t="str">
        <x:v>面议</x:v>
      </x:c>
      <x:c r="O9" s="78" t="str">
        <x:v>本科/硕士</x:v>
      </x:c>
      <x:c r="P9" s="78" t="str">
        <x:v>应届</x:v>
      </x:c>
      <x:c r="Q9" s="78" t="str">
        <x:v>negotiable</x:v>
      </x:c>
      <x:c r="R9" s="81" t="str">
        <x:v>yes</x:v>
      </x:c>
      <x:c r="S9" s="78" t="str"/>
      <x:c r="T9" s="78" t="str">
        <x:v>C</x:v>
      </x:c>
      <x:c r="U9" s="78" t="str">
        <x:v>rotating</x:v>
      </x:c>
      <x:c r="V9" s="78" t="str">
        <x:v>unknown</x:v>
      </x:c>
      <x:c r="W9" s="78" t="str">
        <x:v>unknown</x:v>
      </x:c>
      <x:c r="X9" s="78" t="str">
        <x:v>电气、自动化等可投；明确白班/夜班/轮班和洁净室；不符合双休硬条件。</x:v>
      </x:c>
      <x:c r="Y9" s="80" t="str">
        <x:f>IF(AND(ISNUMBER(K9),ISNUMBER(L9)),(K9+L9)/2,"")</x:f>
      </x:c>
      <x:c r="Z9" s="80" t="str">
        <x:f>IF(AND(ISNUMBER(Y9),ISNUMBER(M9)),Y9*M9/12,IF(ISNUMBER(Y9),Y9,""))</x:f>
      </x:c>
      <x:c r="AA9" s="80" t="n">
        <x:f>IF(ISNUMBER(Y9),1,0)</x:f>
        <x:v>0</x:v>
      </x:c>
    </x:row>
    <x:row r="10" ht="84" customHeight="1">
      <x:c r="A10" s="75" t="str">
        <x:v>yingjiesheng_J11192</x:v>
      </x:c>
      <x:c r="B10" s="75" t="str">
        <x:v>应届生求职网转载51job</x:v>
      </x:c>
      <x:c r="C10" s="75" t="str">
        <x:v>https://m.yingjiesheng.com/job-008-033-479.html</x:v>
      </x:c>
      <x:c r="D10" s="76" t="d">
        <x:v>2026-10-26T00:00:00.000Z</x:v>
      </x:c>
      <x:c r="E10" s="75" t="str">
        <x:v>临港 2027 电气 自动化 设备</x:v>
      </x:c>
      <x:c r="F10" s="75" t="str">
        <x:v>上海</x:v>
      </x:c>
      <x:c r="G10" s="75" t="str">
        <x:v>浦东新区</x:v>
      </x:c>
      <x:c r="H10" s="75" t="str">
        <x:v>上海艾为电子技术股份有限公司</x:v>
      </x:c>
      <x:c r="I10" s="75" t="str">
        <x:v>设备工程师-临港-2027届(J11192)</x:v>
      </x:c>
      <x:c r="J10" s="75" t="str">
        <x:v>设备工程</x:v>
      </x:c>
      <x:c r="K10" s="77"/>
      <x:c r="L10" s="77"/>
      <x:c r="M10" s="75"/>
      <x:c r="N10" s="75" t="str">
        <x:v>未列薪资</x:v>
      </x:c>
      <x:c r="O10" s="75" t="str">
        <x:v>本科及以上</x:v>
      </x:c>
      <x:c r="P10" s="75" t="str">
        <x:v>2027应届</x:v>
      </x:c>
      <x:c r="Q10" s="75" t="str">
        <x:v>negotiable</x:v>
      </x:c>
      <x:c r="R10" s="81" t="str">
        <x:v>yes</x:v>
      </x:c>
      <x:c r="S10" s="75" t="str"/>
      <x:c r="T10" s="75" t="str">
        <x:v>C</x:v>
      </x:c>
      <x:c r="U10" s="75" t="str">
        <x:v>unknown</x:v>
      </x:c>
      <x:c r="V10" s="75" t="str">
        <x:v>unknown</x:v>
      </x:c>
      <x:c r="W10" s="75" t="str">
        <x:v>unknown</x:v>
      </x:c>
      <x:c r="X10" s="75" t="str">
        <x:v>2027本科，电子工程相关；设备维修改机、测试平台异常处理与硬件改造；是否接受电气工程需确认。</x:v>
      </x:c>
      <x:c r="Y10" s="77" t="str">
        <x:f>IF(AND(ISNUMBER(K10),ISNUMBER(L10)),(K10+L10)/2,"")</x:f>
      </x:c>
      <x:c r="Z10" s="77" t="str">
        <x:f>IF(AND(ISNUMBER(Y10),ISNUMBER(M10)),Y10*M10/12,IF(ISNUMBER(Y10),Y10,""))</x:f>
      </x:c>
      <x:c r="AA10" s="77" t="n">
        <x:f>IF(ISNUMBER(Y10),1,0)</x:f>
        <x:v>0</x:v>
      </x:c>
    </x:row>
    <x:row r="11" ht="84" customHeight="1">
      <x:c r="A11" s="78" t="str">
        <x:v>yingjiesheng_yanfeng_2027</x:v>
      </x:c>
      <x:c r="B11" s="78" t="str">
        <x:v>应届生求职网转载51job</x:v>
      </x:c>
      <x:c r="C11" s="78" t="str">
        <x:v>https://m.yingjiesheng.com/job-008-084-813.html</x:v>
      </x:c>
      <x:c r="D11" s="79" t="d">
        <x:v>2026-10-26T00:00:00.000Z</x:v>
      </x:c>
      <x:c r="E11" s="78" t="str">
        <x:v>临港 2027 电气 自动化 设备</x:v>
      </x:c>
      <x:c r="F11" s="78" t="str">
        <x:v>上海</x:v>
      </x:c>
      <x:c r="G11" s="78" t="str">
        <x:v>浦东新区</x:v>
      </x:c>
      <x:c r="H11" s="78" t="str">
        <x:v>延锋彼欧汽车外饰系统有限公司</x:v>
      </x:c>
      <x:c r="I11" s="78" t="str">
        <x:v>2027届应届生-临港公司-工程设备方向</x:v>
      </x:c>
      <x:c r="J11" s="78" t="str">
        <x:v>工程设备</x:v>
      </x:c>
      <x:c r="K11" s="80"/>
      <x:c r="L11" s="80"/>
      <x:c r="M11" s="78"/>
      <x:c r="N11" s="78" t="str">
        <x:v>未列薪资</x:v>
      </x:c>
      <x:c r="O11" s="78" t="str">
        <x:v>本科及以上</x:v>
      </x:c>
      <x:c r="P11" s="78" t="str">
        <x:v>2027应届</x:v>
      </x:c>
      <x:c r="Q11" s="78" t="str">
        <x:v>negotiable</x:v>
      </x:c>
      <x:c r="R11" s="81" t="str">
        <x:v>yes</x:v>
      </x:c>
      <x:c r="S11" s="78" t="str"/>
      <x:c r="T11" s="78" t="str">
        <x:v>C</x:v>
      </x:c>
      <x:c r="U11" s="78" t="str">
        <x:v>unknown</x:v>
      </x:c>
      <x:c r="V11" s="78" t="str">
        <x:v>unknown</x:v>
      </x:c>
      <x:c r="W11" s="78" t="str">
        <x:v>unknown</x:v>
      </x:c>
      <x:c r="X11" s="78" t="str">
        <x:v>机械、电气自动化等优先；涉及设备安装、改造、TPM与现场问题处理；用户可接受现场调试/工程实施。</x:v>
      </x:c>
      <x:c r="Y11" s="80" t="str">
        <x:f>IF(AND(ISNUMBER(K11),ISNUMBER(L11)),(K11+L11)/2,"")</x:f>
      </x:c>
      <x:c r="Z11" s="80" t="str">
        <x:f>IF(AND(ISNUMBER(Y11),ISNUMBER(M11)),Y11*M11/12,IF(ISNUMBER(Y11),Y11,""))</x:f>
      </x:c>
      <x:c r="AA11" s="80" t="n">
        <x:f>IF(ISNUMBER(Y11),1,0)</x:f>
        <x:v>0</x:v>
      </x:c>
    </x:row>
    <x:row r="12" ht="84" customHeight="1">
      <x:c r="A12" s="75" t="str">
        <x:v>gta_2027_equipment</x:v>
      </x:c>
      <x:c r="B12" s="75" t="str">
        <x:v>积塔半导体官网</x:v>
      </x:c>
      <x:c r="C12" s="75" t="str">
        <x:v>https://www.gtasemi.com.cn/careers/campus-recruitment_2</x:v>
      </x:c>
      <x:c r="D12" s="76" t="d">
        <x:v>2026-10-26T00:00:00.000Z</x:v>
      </x:c>
      <x:c r="E12" s="75" t="str">
        <x:v>临港 2027 电气 自动化 设备</x:v>
      </x:c>
      <x:c r="F12" s="75" t="str">
        <x:v>上海</x:v>
      </x:c>
      <x:c r="G12" s="75" t="str">
        <x:v>浦东新区</x:v>
      </x:c>
      <x:c r="H12" s="75" t="str">
        <x:v>上海积塔半导体有限公司</x:v>
      </x:c>
      <x:c r="I12" s="75" t="str">
        <x:v>设备工程师（2027届）</x:v>
      </x:c>
      <x:c r="J12" s="75" t="str">
        <x:v>设备工程</x:v>
      </x:c>
      <x:c r="K12" s="77"/>
      <x:c r="L12" s="77"/>
      <x:c r="M12" s="75"/>
      <x:c r="N12" s="75" t="str">
        <x:v>未列薪资</x:v>
      </x:c>
      <x:c r="O12" s="75" t="str">
        <x:v>本科及以上</x:v>
      </x:c>
      <x:c r="P12" s="75" t="str">
        <x:v>2027应届</x:v>
      </x:c>
      <x:c r="Q12" s="75" t="str">
        <x:v>negotiable</x:v>
      </x:c>
      <x:c r="R12" s="78" t="str">
        <x:v>no</x:v>
      </x:c>
      <x:c r="S12" s="75" t="str">
        <x:v>厂址位于泥城镇，未证明属于滴水湖核心区</x:v>
      </x:c>
      <x:c r="T12" s="75" t="str">
        <x:v>C</x:v>
      </x:c>
      <x:c r="U12" s="75" t="str">
        <x:v>unknown</x:v>
      </x:c>
      <x:c r="V12" s="75" t="str">
        <x:v>unknown</x:v>
      </x:c>
      <x:c r="W12" s="75" t="str">
        <x:v>unknown</x:v>
      </x:c>
      <x:c r="X12" s="75" t="str">
        <x:v>机械、自动化、电气工程相关；上海自贸区厂区（云水路600号）；纳入更广临港片区观察，不纳入核心区供给。</x:v>
      </x:c>
      <x:c r="Y12" s="77" t="str">
        <x:f>IF(AND(ISNUMBER(K12),ISNUMBER(L12)),(K12+L12)/2,"")</x:f>
      </x:c>
      <x:c r="Z12" s="77" t="str">
        <x:f>IF(AND(ISNUMBER(Y12),ISNUMBER(M12)),Y12*M12/12,IF(ISNUMBER(Y12),Y12,""))</x:f>
      </x:c>
      <x:c r="AA12" s="77" t="n">
        <x:f>IF(ISNUMBER(Y12),1,0)</x:f>
        <x:v>0</x:v>
      </x:c>
    </x:row>
    <x:row r="13" ht="84" customHeight="1">
      <x:c r="A13" s="78" t="str">
        <x:v>zhaopin_CC000439650J40872309907</x:v>
      </x:c>
      <x:c r="B13" s="78" t="str">
        <x:v>智联招聘</x:v>
      </x:c>
      <x:c r="C13" s="78" t="str">
        <x:v>https://www.zhaopin.com/jobdetail/CC000439650J40872309907.htm</x:v>
      </x:c>
      <x:c r="D13" s="79" t="d">
        <x:v>2026-10-26T00:00:00.000Z</x:v>
      </x:c>
      <x:c r="E13" s="78" t="str">
        <x:v>临港 2027 电气 自动化 设备</x:v>
      </x:c>
      <x:c r="F13" s="78" t="str">
        <x:v>上海</x:v>
      </x:c>
      <x:c r="G13" s="78" t="str">
        <x:v>浦东新区</x:v>
      </x:c>
      <x:c r="H13" s="78" t="str">
        <x:v>中芯国际集成电路制造(上海)有限公司</x:v>
      </x:c>
      <x:c r="I13" s="78" t="str">
        <x:v>设备工程师-临港（2027届校招）-DIFF</x:v>
      </x:c>
      <x:c r="J13" s="78" t="str">
        <x:v>设备工程</x:v>
      </x:c>
      <x:c r="K13" s="80" t="n">
        <x:v>10000</x:v>
      </x:c>
      <x:c r="L13" s="80" t="n">
        <x:v>20000</x:v>
      </x:c>
      <x:c r="M13" s="78" t="n">
        <x:v>16</x:v>
      </x:c>
      <x:c r="N13" s="78" t="str">
        <x:v>1-2万·16薪</x:v>
      </x:c>
      <x:c r="O13" s="78" t="str">
        <x:v>硕士</x:v>
      </x:c>
      <x:c r="P13" s="78" t="str">
        <x:v>应届/经验不限</x:v>
      </x:c>
      <x:c r="Q13" s="78" t="str">
        <x:v>monthly</x:v>
      </x:c>
      <x:c r="R13" s="78" t="str">
        <x:v>no</x:v>
      </x:c>
      <x:c r="S13" s="78" t="str">
        <x:v>学历要求硕士，不是本科主样本</x:v>
      </x:c>
      <x:c r="T13" s="78" t="str">
        <x:v>C</x:v>
      </x:c>
      <x:c r="U13" s="78" t="str">
        <x:v>unknown</x:v>
      </x:c>
      <x:c r="V13" s="78" t="str">
        <x:v>unknown</x:v>
      </x:c>
      <x:c r="W13" s="78" t="str">
        <x:v>unknown</x:v>
      </x:c>
      <x:c r="X13" s="78" t="str">
        <x:v>仅作同企业2027设备岗薪资锚点；本科不得套用。</x:v>
      </x:c>
      <x:c r="Y13" s="80" t="n">
        <x:f>IF(AND(ISNUMBER(K13),ISNUMBER(L13)),(K13+L13)/2,"")</x:f>
        <x:v>15000</x:v>
      </x:c>
      <x:c r="Z13" s="80" t="n">
        <x:f>IF(AND(ISNUMBER(Y13),ISNUMBER(M13)),Y13*M13/12,IF(ISNUMBER(Y13),Y13,""))</x:f>
        <x:v>20000</x:v>
      </x:c>
      <x:c r="AA13" s="80" t="n">
        <x:f>IF(ISNUMBER(Y13),1,0)</x:f>
        <x:v>1</x:v>
      </x:c>
    </x:row>
    <x:row r="14" ht="84" customHeight="1">
      <x:c r="A14" s="75" t="str">
        <x:v>zhaopin_sjtu_mechatronics</x:v>
      </x:c>
      <x:c r="B14" s="75" t="str">
        <x:v>智联招聘</x:v>
      </x:c>
      <x:c r="C14" s="75" t="str">
        <x:v>https://www.zhaopin.com/jobdetail/CC445534830J00183849304.htm</x:v>
      </x:c>
      <x:c r="D14" s="76" t="d">
        <x:v>2026-10-26T00:00:00.000Z</x:v>
      </x:c>
      <x:c r="E14" s="75" t="str">
        <x:v>临港 2027 电气 自动化 设备</x:v>
      </x:c>
      <x:c r="F14" s="75" t="str">
        <x:v>上海</x:v>
      </x:c>
      <x:c r="G14" s="75" t="str">
        <x:v>浦东新区</x:v>
      </x:c>
      <x:c r="H14" s="75" t="str">
        <x:v>上海交大临港智能制造创新科技有限公司</x:v>
      </x:c>
      <x:c r="I14" s="75" t="str">
        <x:v>机电一体化工程师（临港）</x:v>
      </x:c>
      <x:c r="J14" s="75" t="str">
        <x:v>机电/自动化</x:v>
      </x:c>
      <x:c r="K14" s="77" t="n">
        <x:v>10000</x:v>
      </x:c>
      <x:c r="L14" s="77" t="n">
        <x:v>12000</x:v>
      </x:c>
      <x:c r="M14" s="75" t="n">
        <x:v>12</x:v>
      </x:c>
      <x:c r="N14" s="75" t="str">
        <x:v>1-1.2万</x:v>
      </x:c>
      <x:c r="O14" s="75" t="str">
        <x:v>本科</x:v>
      </x:c>
      <x:c r="P14" s="75" t="str">
        <x:v>1-3年</x:v>
      </x:c>
      <x:c r="Q14" s="75" t="str">
        <x:v>monthly</x:v>
      </x:c>
      <x:c r="R14" s="78" t="str">
        <x:v>no</x:v>
      </x:c>
      <x:c r="S14" s="75" t="str">
        <x:v>非2027应届，有1-3年经验要求</x:v>
      </x:c>
      <x:c r="T14" s="75" t="str">
        <x:v>C</x:v>
      </x:c>
      <x:c r="U14" s="75" t="str">
        <x:v>unknown</x:v>
      </x:c>
      <x:c r="V14" s="75" t="str">
        <x:v>unknown</x:v>
      </x:c>
      <x:c r="W14" s="75" t="str">
        <x:v>unknown</x:v>
      </x:c>
      <x:c r="X14" s="75" t="str">
        <x:v>南汇新城海洋一路333号；机器人调试；提供免费班车（页面信号，班车路线需确认）。</x:v>
      </x:c>
      <x:c r="Y14" s="77" t="n">
        <x:f>IF(AND(ISNUMBER(K14),ISNUMBER(L14)),(K14+L14)/2,"")</x:f>
        <x:v>11000</x:v>
      </x:c>
      <x:c r="Z14" s="77" t="n">
        <x:f>IF(AND(ISNUMBER(Y14),ISNUMBER(M14)),Y14*M14/12,IF(ISNUMBER(Y14),Y14,""))</x:f>
        <x:v>11000</x:v>
      </x:c>
      <x:c r="AA14" s="77" t="n">
        <x:f>IF(ISNUMBER(Y14),1,0)</x:f>
        <x:v>1</x:v>
      </x:c>
    </x:row>
    <x:row r="15" ht="84" customHeight="1">
      <x:c r="A15" s="78" t="str">
        <x:v>zhaopin_smic_metrology</x:v>
      </x:c>
      <x:c r="B15" s="78" t="str">
        <x:v>智联招聘</x:v>
      </x:c>
      <x:c r="C15" s="78" t="str">
        <x:v>https://www.zhaopin.com/jobdetail/CC000439650J40328271707.htm</x:v>
      </x:c>
      <x:c r="D15" s="79" t="d">
        <x:v>2026-10-26T00:00:00.000Z</x:v>
      </x:c>
      <x:c r="E15" s="78" t="str">
        <x:v>临港 2027 电气 自动化 设备</x:v>
      </x:c>
      <x:c r="F15" s="78" t="str">
        <x:v>上海</x:v>
      </x:c>
      <x:c r="G15" s="78" t="str">
        <x:v>浦东新区</x:v>
      </x:c>
      <x:c r="H15" s="78" t="str">
        <x:v>中芯国际集成电路制造(上海)有限公司</x:v>
      </x:c>
      <x:c r="I15" s="78" t="str">
        <x:v>量测设备工程师-临港</x:v>
      </x:c>
      <x:c r="J15" s="78" t="str">
        <x:v>设备工程</x:v>
      </x:c>
      <x:c r="K15" s="80" t="n">
        <x:v>10000</x:v>
      </x:c>
      <x:c r="L15" s="80" t="n">
        <x:v>15000</x:v>
      </x:c>
      <x:c r="M15" s="78" t="n">
        <x:v>15</x:v>
      </x:c>
      <x:c r="N15" s="78" t="str">
        <x:v>1-1.5万·15薪</x:v>
      </x:c>
      <x:c r="O15" s="78" t="str">
        <x:v>本科</x:v>
      </x:c>
      <x:c r="P15" s="78" t="str">
        <x:v>1-3年</x:v>
      </x:c>
      <x:c r="Q15" s="78" t="str">
        <x:v>monthly</x:v>
      </x:c>
      <x:c r="R15" s="78" t="str">
        <x:v>no</x:v>
      </x:c>
      <x:c r="S15" s="78" t="str">
        <x:v>有1-3年经验要求，不是应届样本</x:v>
      </x:c>
      <x:c r="T15" s="78" t="str">
        <x:v>C</x:v>
      </x:c>
      <x:c r="U15" s="78" t="str">
        <x:v>unknown</x:v>
      </x:c>
      <x:c r="V15" s="78" t="str">
        <x:v>unknown</x:v>
      </x:c>
      <x:c r="W15" s="78" t="str">
        <x:v>unknown</x:v>
      </x:c>
      <x:c r="X15" s="78" t="str">
        <x:v>接受夜班/无尘室；仅作经验岗市场信号。</x:v>
      </x:c>
      <x:c r="Y15" s="80" t="n">
        <x:f>IF(AND(ISNUMBER(K15),ISNUMBER(L15)),(K15+L15)/2,"")</x:f>
        <x:v>12500</x:v>
      </x:c>
      <x:c r="Z15" s="80" t="n">
        <x:f>IF(AND(ISNUMBER(Y15),ISNUMBER(M15)),Y15*M15/12,IF(ISNUMBER(Y15),Y15,""))</x:f>
        <x:v>15625</x:v>
      </x:c>
      <x:c r="AA15" s="80" t="n">
        <x:f>IF(ISNUMBER(Y15),1,0)</x:f>
        <x:v>1</x:v>
      </x:c>
    </x:row>
    <x:row r="16" ht="84" customHeight="1">
      <x:c r="A16" s="75" t="str">
        <x:v>zhaopin_smic_metrology_12in</x:v>
      </x:c>
      <x:c r="B16" s="75" t="str">
        <x:v>智联招聘</x:v>
      </x:c>
      <x:c r="C16" s="75" t="str">
        <x:v>https://www.zhaopin.com/jobdetail/CC000439650J40328271707.htm</x:v>
      </x:c>
      <x:c r="D16" s="76" t="d">
        <x:v>2026-10-26T00:00:00.000Z</x:v>
      </x:c>
      <x:c r="E16" s="75" t="str">
        <x:v>临港 2027 电气 自动化 设备</x:v>
      </x:c>
      <x:c r="F16" s="75" t="str">
        <x:v>上海</x:v>
      </x:c>
      <x:c r="G16" s="75" t="str">
        <x:v>浦东新区</x:v>
      </x:c>
      <x:c r="H16" s="75" t="str">
        <x:v>中芯国际集成电路制造(上海)有限公司</x:v>
      </x:c>
      <x:c r="I16" s="75" t="str">
        <x:v>量测设备工程师-临港12寸</x:v>
      </x:c>
      <x:c r="J16" s="75" t="str">
        <x:v>设备工程</x:v>
      </x:c>
      <x:c r="K16" s="77" t="n">
        <x:v>13000</x:v>
      </x:c>
      <x:c r="L16" s="77" t="n">
        <x:v>18000</x:v>
      </x:c>
      <x:c r="M16" s="75" t="n">
        <x:v>15</x:v>
      </x:c>
      <x:c r="N16" s="75" t="str">
        <x:v>1.3-1.8万·15薪</x:v>
      </x:c>
      <x:c r="O16" s="75" t="str">
        <x:v>本科</x:v>
      </x:c>
      <x:c r="P16" s="75" t="str">
        <x:v>1-3年</x:v>
      </x:c>
      <x:c r="Q16" s="75" t="str">
        <x:v>monthly</x:v>
      </x:c>
      <x:c r="R16" s="78" t="str">
        <x:v>no</x:v>
      </x:c>
      <x:c r="S16" s="75" t="str">
        <x:v>有1-3年经验要求，不是应届样本</x:v>
      </x:c>
      <x:c r="T16" s="75" t="str">
        <x:v>C</x:v>
      </x:c>
      <x:c r="U16" s="75" t="str">
        <x:v>unknown</x:v>
      </x:c>
      <x:c r="V16" s="75" t="str">
        <x:v>unknown</x:v>
      </x:c>
      <x:c r="W16" s="75" t="str">
        <x:v>unknown</x:v>
      </x:c>
      <x:c r="X16" s="75" t="str">
        <x:v>经验岗信号；岗位页面工作条件需面试确认。</x:v>
      </x:c>
      <x:c r="Y16" s="77" t="n">
        <x:f>IF(AND(ISNUMBER(K16),ISNUMBER(L16)),(K16+L16)/2,"")</x:f>
        <x:v>15500</x:v>
      </x:c>
      <x:c r="Z16" s="77" t="n">
        <x:f>IF(AND(ISNUMBER(Y16),ISNUMBER(M16)),Y16*M16/12,IF(ISNUMBER(Y16),Y16,""))</x:f>
        <x:v>19375</x:v>
      </x:c>
      <x:c r="AA16" s="77" t="n">
        <x:f>IF(ISNUMBER(Y16),1,0)</x:f>
        <x:v>1</x:v>
      </x:c>
    </x:row>
    <x:row r="17" ht="84" customHeight="1">
      <x:c r="A17" s="78" t="str">
        <x:v>zhaopin_shengmei_equipment</x:v>
      </x:c>
      <x:c r="B17" s="78" t="str">
        <x:v>智联招聘</x:v>
      </x:c>
      <x:c r="C17" s="78" t="str">
        <x:v>https://www.zhaopin.com/jobdetail/CC838172970J40826794512.htm</x:v>
      </x:c>
      <x:c r="D17" s="79" t="d">
        <x:v>2026-10-26T00:00:00.000Z</x:v>
      </x:c>
      <x:c r="E17" s="78" t="str">
        <x:v>临港 2027 电气 自动化 设备</x:v>
      </x:c>
      <x:c r="F17" s="78" t="str">
        <x:v>上海</x:v>
      </x:c>
      <x:c r="G17" s="78" t="str">
        <x:v>浦东新区</x:v>
      </x:c>
      <x:c r="H17" s="78" t="str">
        <x:v>盛美半导体设备（上海）股份有限公司</x:v>
      </x:c>
      <x:c r="I17" s="78" t="str">
        <x:v>研发线设备工程师</x:v>
      </x:c>
      <x:c r="J17" s="78" t="str">
        <x:v>设备工程</x:v>
      </x:c>
      <x:c r="K17" s="80" t="n">
        <x:v>11000</x:v>
      </x:c>
      <x:c r="L17" s="80" t="n">
        <x:v>18000</x:v>
      </x:c>
      <x:c r="M17" s="78" t="n">
        <x:v>14</x:v>
      </x:c>
      <x:c r="N17" s="78" t="str">
        <x:v>1.1-1.8万·14薪</x:v>
      </x:c>
      <x:c r="O17" s="78" t="str">
        <x:v>本科</x:v>
      </x:c>
      <x:c r="P17" s="78" t="str">
        <x:v>3-5年</x:v>
      </x:c>
      <x:c r="Q17" s="78" t="str">
        <x:v>monthly</x:v>
      </x:c>
      <x:c r="R17" s="78" t="str">
        <x:v>no</x:v>
      </x:c>
      <x:c r="S17" s="78" t="str">
        <x:v>有3-5年经验要求，不是应届样本</x:v>
      </x:c>
      <x:c r="T17" s="78" t="str">
        <x:v>C</x:v>
      </x:c>
      <x:c r="U17" s="78" t="str">
        <x:v>unknown</x:v>
      </x:c>
      <x:c r="V17" s="78" t="str">
        <x:v>unknown</x:v>
      </x:c>
      <x:c r="W17" s="78" t="str">
        <x:v>unknown</x:v>
      </x:c>
      <x:c r="X17" s="78" t="str">
        <x:v>临港总部；经验岗信号，不能作为2027本科起薪。</x:v>
      </x:c>
      <x:c r="Y17" s="80" t="n">
        <x:f>IF(AND(ISNUMBER(K17),ISNUMBER(L17)),(K17+L17)/2,"")</x:f>
        <x:v>14500</x:v>
      </x:c>
      <x:c r="Z17" s="80" t="n">
        <x:f>IF(AND(ISNUMBER(Y17),ISNUMBER(M17)),Y17*M17/12,IF(ISNUMBER(Y17),Y17,""))</x:f>
        <x:v>16916.666666666668</x:v>
      </x:c>
      <x:c r="AA17" s="80" t="n">
        <x:f>IF(ISNUMBER(Y17),1,0)</x:f>
        <x:v>1</x:v>
      </x:c>
    </x:row>
    <x:row r="18" ht="84" customHeight="1">
      <x:c r="A18" s="75" t="str">
        <x:v>zhaopin_CCL1394680540J40958598908</x:v>
      </x:c>
      <x:c r="B18" s="75" t="str">
        <x:v>智联招聘</x:v>
      </x:c>
      <x:c r="C18" s="75" t="str">
        <x:v>https://www.zhaopin.com/jobdetail/CCL1394680540J40958598908.htm</x:v>
      </x:c>
      <x:c r="D18" s="76" t="d">
        <x:v>2026-10-26T00:00:00.000Z</x:v>
      </x:c>
      <x:c r="E18" s="75" t="str">
        <x:v>临港 2027 电气 自动化 设备</x:v>
      </x:c>
      <x:c r="F18" s="75" t="str">
        <x:v>上海</x:v>
      </x:c>
      <x:c r="G18" s="75" t="str">
        <x:v>浦东新区</x:v>
      </x:c>
      <x:c r="H18" s="75" t="str">
        <x:v>乐孜芯创半导体设备(上海)有限公司</x:v>
      </x:c>
      <x:c r="I18" s="75" t="str">
        <x:v>电气工程师（量产支持） (MJ000057)</x:v>
      </x:c>
      <x:c r="J18" s="75" t="str">
        <x:v>电气/自动化</x:v>
      </x:c>
      <x:c r="K18" s="77" t="n">
        <x:v>8000</x:v>
      </x:c>
      <x:c r="L18" s="77" t="n">
        <x:v>15000</x:v>
      </x:c>
      <x:c r="M18" s="75" t="n">
        <x:v>17</x:v>
      </x:c>
      <x:c r="N18" s="75" t="str">
        <x:v>8000-15000元·17薪</x:v>
      </x:c>
      <x:c r="O18" s="75" t="str">
        <x:v>本科</x:v>
      </x:c>
      <x:c r="P18" s="75" t="str">
        <x:v>1-3年</x:v>
      </x:c>
      <x:c r="Q18" s="75" t="str">
        <x:v>monthly</x:v>
      </x:c>
      <x:c r="R18" s="78" t="str">
        <x:v>no</x:v>
      </x:c>
      <x:c r="S18" s="75" t="str">
        <x:v>有1-3年经验要求，不是应届样本</x:v>
      </x:c>
      <x:c r="T18" s="75" t="str">
        <x:v>C</x:v>
      </x:c>
      <x:c r="U18" s="75" t="str">
        <x:v>unknown</x:v>
      </x:c>
      <x:c r="V18" s="75" t="str">
        <x:v>unknown</x:v>
      </x:c>
      <x:c r="W18" s="75" t="str">
        <x:v>unknown</x:v>
      </x:c>
      <x:c r="X18" s="75" t="str">
        <x:v>临港飞渡路；2027-04后常驻临港；经验岗信号。</x:v>
      </x:c>
      <x:c r="Y18" s="77" t="n">
        <x:f>IF(AND(ISNUMBER(K18),ISNUMBER(L18)),(K18+L18)/2,"")</x:f>
        <x:v>11500</x:v>
      </x:c>
      <x:c r="Z18" s="77" t="n">
        <x:f>IF(AND(ISNUMBER(Y18),ISNUMBER(M18)),Y18*M18/12,IF(ISNUMBER(Y18),Y18,""))</x:f>
        <x:v>16291.666666666666</x:v>
      </x:c>
      <x:c r="AA18" s="77" t="n">
        <x:f>IF(ISNUMBER(Y18),1,0)</x:f>
        <x:v>1</x:v>
      </x:c>
    </x:row>
    <x:row r="19" ht="84" customHeight="1">
      <x:c r="A19" s="78" t="str">
        <x:v>zhaopin_CCL1345579240J40722949811</x:v>
      </x:c>
      <x:c r="B19" s="78" t="str">
        <x:v>智联招聘</x:v>
      </x:c>
      <x:c r="C19" s="78" t="str">
        <x:v>https://www.zhaopin.com/jobdetail/CCL1345579240J40722949811.htm</x:v>
      </x:c>
      <x:c r="D19" s="79" t="d">
        <x:v>2026-10-26T00:00:00.000Z</x:v>
      </x:c>
      <x:c r="E19" s="78" t="str">
        <x:v>临港 2027 电气 自动化 设备</x:v>
      </x:c>
      <x:c r="F19" s="78" t="str">
        <x:v>上海</x:v>
      </x:c>
      <x:c r="G19" s="78" t="str">
        <x:v>浦东新区</x:v>
      </x:c>
      <x:c r="H19" s="78" t="str">
        <x:v>常熟柏山科技有限公司</x:v>
      </x:c>
      <x:c r="I19" s="78" t="str">
        <x:v>售后工程师-上海临港</x:v>
      </x:c>
      <x:c r="J19" s="78" t="str">
        <x:v>现场/售后工程</x:v>
      </x:c>
      <x:c r="K19" s="80" t="n">
        <x:v>6000</x:v>
      </x:c>
      <x:c r="L19" s="80" t="n">
        <x:v>9000</x:v>
      </x:c>
      <x:c r="M19" s="78" t="n">
        <x:v>13</x:v>
      </x:c>
      <x:c r="N19" s="78" t="str">
        <x:v>6000-9000元·13薪</x:v>
      </x:c>
      <x:c r="O19" s="78" t="str">
        <x:v>大专及以上</x:v>
      </x:c>
      <x:c r="P19" s="78" t="str">
        <x:v>经验不限</x:v>
      </x:c>
      <x:c r="Q19" s="78" t="str">
        <x:v>monthly</x:v>
      </x:c>
      <x:c r="R19" s="78" t="str">
        <x:v>no</x:v>
      </x:c>
      <x:c r="S19" s="78" t="str">
        <x:v>未明确限定2027应届，且岗位描述含值班/快速到场要求</x:v>
      </x:c>
      <x:c r="T19" s="78" t="str">
        <x:v>C</x:v>
      </x:c>
      <x:c r="U19" s="78" t="str">
        <x:v>double</x:v>
      </x:c>
      <x:c r="V19" s="78" t="str">
        <x:v>unknown</x:v>
      </x:c>
      <x:c r="W19" s="78" t="str">
        <x:v>provided</x:v>
      </x:c>
      <x:c r="X19" s="78" t="str">
        <x:v>页面标签为周末双休、包住；同时有2小时到场响应与值班要求，仅作工作条件案例。</x:v>
      </x:c>
      <x:c r="Y19" s="80" t="n">
        <x:f>IF(AND(ISNUMBER(K19),ISNUMBER(L19)),(K19+L19)/2,"")</x:f>
        <x:v>7500</x:v>
      </x:c>
      <x:c r="Z19" s="80" t="n">
        <x:f>IF(AND(ISNUMBER(Y19),ISNUMBER(M19)),Y19*M19/12,IF(ISNUMBER(Y19),Y19,""))</x:f>
        <x:v>8125</x:v>
      </x:c>
      <x:c r="AA19" s="80" t="n">
        <x:f>IF(ISNUMBER(Y19),1,0)</x:f>
        <x:v>1</x:v>
      </x:c>
    </x:row>
    <x:row r="22" ht="76" customHeight="1">
      <x:c r="AC22" s="29" t="str">
        <x:v>纳入核心分析不等于满足双休和不出差；unknown只表示页面未写明，不能据此判定肯定或否定。</x:v>
      </x:c>
    </x:row>
    <x:row r="26" ht="60" customHeight="1">
      <x:c r="AC26" s="29" t="str">
        <x:v>排除市场锚点保留在表中用于审计，不进入6条核心岗位计数。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5" hidden="0" customWidth="1"/>
    <x:col min="4" max="4" width="13" hidden="0" customWidth="1"/>
    <x:col min="5" max="5" width="17" hidden="0" customWidth="1"/>
    <x:col min="6" max="6" width="34" hidden="0" customWidth="1"/>
    <x:col min="7" max="7" width="18" hidden="0" customWidth="1"/>
    <x:col min="8" max="8" width="38" hidden="0" customWidth="1"/>
    <x:col min="9" max="9" width="2" hidden="0" customWidth="1"/>
    <x:col min="10" max="10" width="52" hidden="0" customWidth="1"/>
  </x:cols>
  <x:sheetData>
    <x:row r="2" ht="28" customHeight="1">
      <x:c r="A2" s="3" t="str">
        <x:v>核心岗位样本规模、薪资覆盖和工作条件命中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5" ht="32" customHeight="1">
      <x:c r="A5" s="21" t="str">
        <x:v>岗位族</x:v>
      </x:c>
      <x:c r="B5" s="21" t="str">
        <x:v>核心岗位数</x:v>
      </x:c>
      <x:c r="C5" s="21" t="str">
        <x:v>企业数</x:v>
      </x:c>
      <x:c r="D5" s="21" t="str">
        <x:v>公开薪资数</x:v>
      </x:c>
      <x:c r="E5" s="21" t="str">
        <x:v>广告薪资中位数</x:v>
      </x:c>
      <x:c r="F5" s="21" t="str">
        <x:v>明确双休</x:v>
      </x:c>
      <x:c r="G5" s="21" t="str">
        <x:v>明确不出差</x:v>
      </x:c>
      <x:c r="H5" s="21" t="str">
        <x:v>证据/解释</x:v>
      </x:c>
    </x:row>
    <x:row r="6" ht="28" customHeight="1">
      <x:c r="A6" s="22" t="str">
        <x:v>设备工程</x:v>
      </x:c>
      <x:c r="B6" s="22" t="n">
        <x:f>COUNTIFS('岗位明细'!$J$6:$J19,A6,'岗位明细'!$R$6:$R19,"yes")</x:f>
        <x:v>2</x:v>
      </x:c>
      <x:c r="C6" s="22" t="n">
        <x:v>2</x:v>
      </x:c>
      <x:c r="D6" s="22" t="n">
        <x:f>COUNTIFS('岗位明细'!$J$6:$J19,A6,'岗位明细'!$R$6:$R19,"yes",'岗位明细'!$AA$6:$AA19,1)</x:f>
        <x:v>0</x:v>
      </x:c>
      <x:c r="E6" s="22" t="str">
        <x:v>未取得</x:v>
      </x:c>
      <x:c r="F6" s="22" t="n">
        <x:f>COUNTIFS('岗位明细'!$J$6:$J19,A6,'岗位明细'!$R$6:$R19,"yes",'岗位明细'!$U$6:$U19,"double")</x:f>
        <x:v>0</x:v>
      </x:c>
      <x:c r="G6" s="22" t="n">
        <x:f>COUNTIFS('岗位明细'!$J$6:$J19,A6,'岗位明细'!$R$6:$R19,"yes",'岗位明细'!$V$6:$V19,"none")</x:f>
        <x:v>0</x:v>
      </x:c>
      <x:c r="H6" s="22" t="str">
        <x:v>面议或未列薪资；小样本C级</x:v>
      </x:c>
    </x:row>
    <x:row r="7" ht="28" customHeight="1">
      <x:c r="A7" s="23" t="str">
        <x:v>封装设备</x:v>
      </x:c>
      <x:c r="B7" s="23" t="n">
        <x:f>COUNTIFS('岗位明细'!$J$6:$J19,A7,'岗位明细'!$R$6:$R19,"yes")</x:f>
        <x:v>1</x:v>
      </x:c>
      <x:c r="C7" s="23" t="n">
        <x:v>1</x:v>
      </x:c>
      <x:c r="D7" s="23" t="n">
        <x:f>COUNTIFS('岗位明细'!$J$6:$J19,A7,'岗位明细'!$R$6:$R19,"yes",'岗位明细'!$AA$6:$AA19,1)</x:f>
        <x:v>0</x:v>
      </x:c>
      <x:c r="E7" s="23" t="str">
        <x:v>未取得</x:v>
      </x:c>
      <x:c r="F7" s="23" t="n">
        <x:f>COUNTIFS('岗位明细'!$J$6:$J19,A7,'岗位明细'!$R$6:$R19,"yes",'岗位明细'!$U$6:$U19,"double")</x:f>
        <x:v>0</x:v>
      </x:c>
      <x:c r="G7" s="23" t="n">
        <x:f>COUNTIFS('岗位明细'!$J$6:$J19,A7,'岗位明细'!$R$6:$R19,"yes",'岗位明细'!$V$6:$V19,"none")</x:f>
        <x:v>0</x:v>
      </x:c>
      <x:c r="H7" s="23" t="str">
        <x:v>面议或未列薪资；小样本C级</x:v>
      </x:c>
    </x:row>
    <x:row r="8" ht="28" customHeight="1">
      <x:c r="A8" s="22" t="str">
        <x:v>自动化算法</x:v>
      </x:c>
      <x:c r="B8" s="22" t="n">
        <x:f>COUNTIFS('岗位明细'!$J$6:$J19,A8,'岗位明细'!$R$6:$R19,"yes")</x:f>
        <x:v>1</x:v>
      </x:c>
      <x:c r="C8" s="22" t="n">
        <x:v>1</x:v>
      </x:c>
      <x:c r="D8" s="22" t="n">
        <x:f>COUNTIFS('岗位明细'!$J$6:$J19,A8,'岗位明细'!$R$6:$R19,"yes",'岗位明细'!$AA$6:$AA19,1)</x:f>
        <x:v>0</x:v>
      </x:c>
      <x:c r="E8" s="22" t="str">
        <x:v>未取得</x:v>
      </x:c>
      <x:c r="F8" s="22" t="n">
        <x:f>COUNTIFS('岗位明细'!$J$6:$J19,A8,'岗位明细'!$R$6:$R19,"yes",'岗位明细'!$U$6:$U19,"double")</x:f>
        <x:v>0</x:v>
      </x:c>
      <x:c r="G8" s="22" t="n">
        <x:f>COUNTIFS('岗位明细'!$J$6:$J19,A8,'岗位明细'!$R$6:$R19,"yes",'岗位明细'!$V$6:$V19,"none")</x:f>
        <x:v>0</x:v>
      </x:c>
      <x:c r="H8" s="22" t="str">
        <x:v>面议或未列薪资；小样本C级</x:v>
      </x:c>
    </x:row>
    <x:row r="9" ht="28" customHeight="1">
      <x:c r="A9" s="23" t="str">
        <x:v>生产运筹</x:v>
      </x:c>
      <x:c r="B9" s="23" t="n">
        <x:f>COUNTIFS('岗位明细'!$J$6:$J19,A9,'岗位明细'!$R$6:$R19,"yes")</x:f>
        <x:v>1</x:v>
      </x:c>
      <x:c r="C9" s="23" t="n">
        <x:v>1</x:v>
      </x:c>
      <x:c r="D9" s="23" t="n">
        <x:f>COUNTIFS('岗位明细'!$J$6:$J19,A9,'岗位明细'!$R$6:$R19,"yes",'岗位明细'!$AA$6:$AA19,1)</x:f>
        <x:v>0</x:v>
      </x:c>
      <x:c r="E9" s="23" t="str">
        <x:v>未取得</x:v>
      </x:c>
      <x:c r="F9" s="23" t="n">
        <x:f>COUNTIFS('岗位明细'!$J$6:$J19,A9,'岗位明细'!$R$6:$R19,"yes",'岗位明细'!$U$6:$U19,"double")</x:f>
        <x:v>0</x:v>
      </x:c>
      <x:c r="G9" s="23" t="n">
        <x:f>COUNTIFS('岗位明细'!$J$6:$J19,A9,'岗位明细'!$R$6:$R19,"yes",'岗位明细'!$V$6:$V19,"none")</x:f>
        <x:v>0</x:v>
      </x:c>
      <x:c r="H9" s="23" t="str">
        <x:v>面议或未列薪资；小样本C级</x:v>
      </x:c>
    </x:row>
    <x:row r="10" ht="28" customHeight="1">
      <x:c r="A10" s="22" t="str">
        <x:v>工程设备</x:v>
      </x:c>
      <x:c r="B10" s="22" t="n">
        <x:f>COUNTIFS('岗位明细'!$J$6:$J19,A10,'岗位明细'!$R$6:$R19,"yes")</x:f>
        <x:v>1</x:v>
      </x:c>
      <x:c r="C10" s="22" t="n">
        <x:v>1</x:v>
      </x:c>
      <x:c r="D10" s="22" t="n">
        <x:f>COUNTIFS('岗位明细'!$J$6:$J19,A10,'岗位明细'!$R$6:$R19,"yes",'岗位明细'!$AA$6:$AA19,1)</x:f>
        <x:v>0</x:v>
      </x:c>
      <x:c r="E10" s="22" t="str">
        <x:v>未取得</x:v>
      </x:c>
      <x:c r="F10" s="22" t="n">
        <x:f>COUNTIFS('岗位明细'!$J$6:$J19,A10,'岗位明细'!$R$6:$R19,"yes",'岗位明细'!$U$6:$U19,"double")</x:f>
        <x:v>0</x:v>
      </x:c>
      <x:c r="G10" s="22" t="n">
        <x:f>COUNTIFS('岗位明细'!$J$6:$J19,A10,'岗位明细'!$R$6:$R19,"yes",'岗位明细'!$V$6:$V19,"none")</x:f>
        <x:v>0</x:v>
      </x:c>
      <x:c r="H10" s="22" t="str">
        <x:v>面议或未列薪资；小样本C级</x:v>
      </x:c>
    </x:row>
    <x:row r="12">
      <x:c r="A12" s="68" t="str">
        <x:v>排除样本中的市场锚点（不能当作2027本科应届工资）</x:v>
      </x:c>
    </x:row>
    <x:row r="13" ht="32" customHeight="1">
      <x:c r="A13" s="21" t="str">
        <x:v>公司</x:v>
      </x:c>
      <x:c r="B13" s="21" t="str">
        <x:v>职位</x:v>
      </x:c>
      <x:c r="C13" s="21" t="str">
        <x:v>学历/经验</x:v>
      </x:c>
      <x:c r="D13" s="21" t="str">
        <x:v>月薪区间</x:v>
      </x:c>
      <x:c r="E13" s="21" t="str">
        <x:v>年化中点/月</x:v>
      </x:c>
      <x:c r="F13" s="21" t="str">
        <x:v>排除原因</x:v>
      </x:c>
    </x:row>
    <x:row r="14" ht="60" customHeight="1">
      <x:c r="A14" s="22" t="str">
        <x:v>中芯国际集成电路制造(上海)有限公司</x:v>
      </x:c>
      <x:c r="B14" s="22" t="str">
        <x:v>设备工程师-临港（2027届校招）-DIFF</x:v>
      </x:c>
      <x:c r="C14" s="22" t="str">
        <x:v>硕士 / 应届/经验不限</x:v>
      </x:c>
      <x:c r="D14" s="22" t="str">
        <x:v>10,000至20,000 × 16薪</x:v>
      </x:c>
      <x:c r="E14" s="25" t="n">
        <x:f>(10000+20000)/2*16/12</x:f>
        <x:v>20000</x:v>
      </x:c>
      <x:c r="F14" s="22" t="str">
        <x:v>学历要求硕士，不是本科主样本</x:v>
      </x:c>
    </x:row>
    <x:row r="15" ht="60" customHeight="1">
      <x:c r="A15" s="23" t="str">
        <x:v>上海交大临港智能制造创新科技有限公司</x:v>
      </x:c>
      <x:c r="B15" s="23" t="str">
        <x:v>机电一体化工程师（临港）</x:v>
      </x:c>
      <x:c r="C15" s="23" t="str">
        <x:v>本科 / 1-3年</x:v>
      </x:c>
      <x:c r="D15" s="23" t="str">
        <x:v>10,000至12,000 × 12薪</x:v>
      </x:c>
      <x:c r="E15" s="24" t="n">
        <x:f>(10000+12000)/2*12/12</x:f>
        <x:v>11000</x:v>
      </x:c>
      <x:c r="F15" s="23" t="str">
        <x:v>非2027应届，有1-3年经验要求</x:v>
      </x:c>
    </x:row>
    <x:row r="16" ht="60" customHeight="1">
      <x:c r="A16" s="22" t="str">
        <x:v>中芯国际集成电路制造(上海)有限公司</x:v>
      </x:c>
      <x:c r="B16" s="22" t="str">
        <x:v>量测设备工程师-临港</x:v>
      </x:c>
      <x:c r="C16" s="22" t="str">
        <x:v>本科 / 1-3年</x:v>
      </x:c>
      <x:c r="D16" s="22" t="str">
        <x:v>10,000至15,000 × 15薪</x:v>
      </x:c>
      <x:c r="E16" s="25" t="n">
        <x:f>(10000+15000)/2*15/12</x:f>
        <x:v>15625</x:v>
      </x:c>
      <x:c r="F16" s="22" t="str">
        <x:v>有1-3年经验要求，不是应届样本</x:v>
      </x:c>
    </x:row>
    <x:row r="17" ht="60" customHeight="1">
      <x:c r="A17" s="23" t="str">
        <x:v>中芯国际集成电路制造(上海)有限公司</x:v>
      </x:c>
      <x:c r="B17" s="23" t="str">
        <x:v>量测设备工程师-临港12寸</x:v>
      </x:c>
      <x:c r="C17" s="23" t="str">
        <x:v>本科 / 1-3年</x:v>
      </x:c>
      <x:c r="D17" s="23" t="str">
        <x:v>13,000至18,000 × 15薪</x:v>
      </x:c>
      <x:c r="E17" s="24" t="n">
        <x:f>(13000+18000)/2*15/12</x:f>
        <x:v>19375</x:v>
      </x:c>
      <x:c r="F17" s="23" t="str">
        <x:v>有1-3年经验要求，不是应届样本</x:v>
      </x:c>
    </x:row>
    <x:row r="18" ht="60" customHeight="1">
      <x:c r="A18" s="22" t="str">
        <x:v>盛美半导体设备（上海）股份有限公司</x:v>
      </x:c>
      <x:c r="B18" s="22" t="str">
        <x:v>研发线设备工程师</x:v>
      </x:c>
      <x:c r="C18" s="22" t="str">
        <x:v>本科 / 3-5年</x:v>
      </x:c>
      <x:c r="D18" s="22" t="str">
        <x:v>11,000至18,000 × 14薪</x:v>
      </x:c>
      <x:c r="E18" s="25" t="n">
        <x:f>(11000+18000)/2*14/12</x:f>
        <x:v>16916.666666666668</x:v>
      </x:c>
      <x:c r="F18" s="22" t="str">
        <x:v>有3-5年经验要求，不是应届样本</x:v>
      </x:c>
    </x:row>
    <x:row r="19" ht="60" customHeight="1">
      <x:c r="A19" s="23" t="str">
        <x:v>乐孜芯创半导体设备(上海)有限公司</x:v>
      </x:c>
      <x:c r="B19" s="23" t="str">
        <x:v>电气工程师（量产支持） (MJ000057)</x:v>
      </x:c>
      <x:c r="C19" s="23" t="str">
        <x:v>本科 / 1-3年</x:v>
      </x:c>
      <x:c r="D19" s="23" t="str">
        <x:v>8,000至15,000 × 17薪</x:v>
      </x:c>
      <x:c r="E19" s="24" t="n">
        <x:f>(8000+15000)/2*17/12</x:f>
        <x:v>16291.666666666666</x:v>
      </x:c>
      <x:c r="F19" s="23" t="str">
        <x:v>有1-3年经验要求，不是应届样本</x:v>
      </x:c>
    </x:row>
    <x:row r="20" ht="60" customHeight="1">
      <x:c r="A20" s="22" t="str">
        <x:v>常熟柏山科技有限公司</x:v>
      </x:c>
      <x:c r="B20" s="22" t="str">
        <x:v>售后工程师-上海临港</x:v>
      </x:c>
      <x:c r="C20" s="22" t="str">
        <x:v>大专及以上 / 经验不限</x:v>
      </x:c>
      <x:c r="D20" s="22" t="str">
        <x:v>6,000至9,000 × 13薪</x:v>
      </x:c>
      <x:c r="E20" s="25" t="n">
        <x:f>(6000+9000)/2*13/12</x:f>
        <x:v>8125</x:v>
      </x:c>
      <x:c r="F20" s="22" t="str">
        <x:v>未明确限定2027应届，且岗位描述含值班/快速到场要求</x:v>
      </x:c>
    </x:row>
    <x:row r="22" ht="84" customHeight="1">
      <x:c r="J22" s="29" t="str">
        <x:v>这7条锚点混有硕士、1至5年经验岗和售后岗。其年化月薪中点区间只用于审视市场，不能替代应届本科样本。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9" hidden="0" customWidth="1"/>
    <x:col min="4" max="4" width="17" hidden="0" customWidth="1"/>
    <x:col min="5" max="5" width="11" hidden="0" customWidth="1"/>
    <x:col min="6" max="6" width="13" hidden="0" customWidth="1"/>
    <x:col min="7" max="7" width="11" hidden="0" customWidth="1"/>
    <x:col min="8" max="8" width="11" hidden="0" customWidth="1"/>
    <x:col min="9" max="9" width="12" hidden="0" customWidth="1"/>
    <x:col min="10" max="10" width="13" hidden="0" customWidth="1"/>
    <x:col min="11" max="11" width="15" hidden="0" customWidth="1"/>
    <x:col min="12" max="12" width="15" hidden="0" customWidth="1"/>
    <x:col min="13" max="13" width="8" hidden="0" customWidth="1"/>
    <x:col min="14" max="14" width="30" hidden="0" customWidth="1"/>
    <x:col min="15" max="15" width="44" hidden="0" customWidth="1"/>
    <x:col min="16" max="16" width="12" hidden="0" customWidth="1"/>
    <x:col min="17" max="17" width="56" hidden="0" customWidth="1"/>
    <x:col min="18" max="18" width="2" hidden="0" customWidth="1"/>
    <x:col min="19" max="19" width="52" hidden="0" customWidth="1"/>
  </x:cols>
  <x:sheetData>
    <x:row r="2" ht="28" customHeight="1">
      <x:c r="A2" s="3" t="str">
        <x:v>整租、合租与人才公寓的原始挂牌和展示样本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5" ht="32" customHeight="1">
      <x:c r="A5" s="21" t="str">
        <x:v>城市</x:v>
      </x:c>
      <x:c r="B5" s="21" t="str">
        <x:v>区县/板块</x:v>
      </x:c>
      <x:c r="C5" s="21" t="str">
        <x:v>住房类型</x:v>
      </x:c>
      <x:c r="D5" s="21" t="str">
        <x:v>面积/房间口径</x:v>
      </x:c>
      <x:c r="E5" s="21" t="str">
        <x:v>月租</x:v>
      </x:c>
      <x:c r="F5" s="21" t="str">
        <x:v>挂牌/样本数</x:v>
      </x:c>
      <x:c r="G5" s="21" t="str">
        <x:v>押金月数</x:v>
      </x:c>
      <x:c r="H5" s="21" t="str">
        <x:v>预付月数</x:v>
      </x:c>
      <x:c r="I5" s="21" t="str">
        <x:v>中介费月数</x:v>
      </x:c>
      <x:c r="J5" s="21" t="str">
        <x:v>月度服务费</x:v>
      </x:c>
      <x:c r="K5" s="21" t="str">
        <x:v>一次性服务费</x:v>
      </x:c>
      <x:c r="L5" s="21" t="str">
        <x:v>距站/参考距离km</x:v>
      </x:c>
      <x:c r="M5" s="21" t="str">
        <x:v>证据</x:v>
      </x:c>
      <x:c r="N5" s="21" t="str">
        <x:v>来源</x:v>
      </x:c>
      <x:c r="O5" s="21" t="str">
        <x:v>URL</x:v>
      </x:c>
      <x:c r="P5" s="21" t="str">
        <x:v>发布日</x:v>
      </x:c>
      <x:c r="Q5" s="21" t="str">
        <x:v>采集日/备注</x:v>
      </x:c>
    </x:row>
    <x:row r="6" ht="76" customHeight="1">
      <x:c r="A6" s="75" t="str">
        <x:v>上海</x:v>
      </x:c>
      <x:c r="B6" s="75" t="str">
        <x:v>临港新城</x:v>
      </x:c>
      <x:c r="C6" s="75" t="str">
        <x:v>整租</x:v>
      </x:c>
      <x:c r="D6" s="75"/>
      <x:c r="E6" s="77" t="n">
        <x:v>2200</x:v>
      </x:c>
      <x:c r="F6" s="75"/>
      <x:c r="G6" s="75"/>
      <x:c r="H6" s="75"/>
      <x:c r="I6" s="75"/>
      <x:c r="J6" s="75"/>
      <x:c r="K6" s="75"/>
      <x:c r="L6" s="75"/>
      <x:c r="M6" s="75" t="str">
        <x:v>C</x:v>
      </x:c>
      <x:c r="N6" s="75" t="str">
        <x:v>安居客临港新城租金页</x:v>
      </x:c>
      <x:c r="O6" s="75" t="str">
        <x:v>https://m.anjuke.com/sh/rent/</x:v>
      </x:c>
      <x:c r="P6" s="76" t="d">
        <x:v>2026-10-26T00:00:00.000Z</x:v>
      </x:c>
      <x:c r="Q6" s="75" t="str">
        <x:v>2026-10-26；页面“一室今日租金均价”，样本量、面积和成交属性不透明；只作市场观察，不作为成交均价。</x:v>
      </x:c>
    </x:row>
    <x:row r="7" ht="76" customHeight="1">
      <x:c r="A7" s="78" t="str">
        <x:v>上海</x:v>
      </x:c>
      <x:c r="B7" s="78" t="str">
        <x:v>临港新城</x:v>
      </x:c>
      <x:c r="C7" s="78" t="str">
        <x:v>整租</x:v>
      </x:c>
      <x:c r="D7" s="78"/>
      <x:c r="E7" s="80" t="n">
        <x:v>2400</x:v>
      </x:c>
      <x:c r="F7" s="78" t="n">
        <x:v>1</x:v>
      </x:c>
      <x:c r="G7" s="78"/>
      <x:c r="H7" s="78"/>
      <x:c r="I7" s="78"/>
      <x:c r="J7" s="78"/>
      <x:c r="K7" s="78"/>
      <x:c r="L7" s="78"/>
      <x:c r="M7" s="78" t="str">
        <x:v>C</x:v>
      </x:c>
      <x:c r="N7" s="78" t="str">
        <x:v>安居客：滴水湖馨苑创馨派</x:v>
      </x:c>
      <x:c r="O7" s="78" t="str">
        <x:v>https://m.anjuke.com/sh/rent/</x:v>
      </x:c>
      <x:c r="P7" s="79" t="d">
        <x:v>2026-10-26T00:00:00.000Z</x:v>
      </x:c>
      <x:c r="Q7" s="78" t="str">
        <x:v>2026-10-26；1室1厅精装修示例挂牌；页面未提供稳定明细链接和可比面积，押付与服务费未核实。</x:v>
      </x:c>
    </x:row>
    <x:row r="8" ht="76" customHeight="1">
      <x:c r="A8" s="75" t="str">
        <x:v>上海</x:v>
      </x:c>
      <x:c r="B8" s="75" t="str">
        <x:v>临港新城</x:v>
      </x:c>
      <x:c r="C8" s="75" t="str">
        <x:v>整租</x:v>
      </x:c>
      <x:c r="D8" s="75"/>
      <x:c r="E8" s="77" t="n">
        <x:v>1300</x:v>
      </x:c>
      <x:c r="F8" s="75" t="n">
        <x:v>1</x:v>
      </x:c>
      <x:c r="G8" s="75"/>
      <x:c r="H8" s="75"/>
      <x:c r="I8" s="75"/>
      <x:c r="J8" s="75"/>
      <x:c r="K8" s="75"/>
      <x:c r="L8" s="75"/>
      <x:c r="M8" s="75" t="str">
        <x:v>C</x:v>
      </x:c>
      <x:c r="N8" s="75" t="str">
        <x:v>安居客：绿地东岸涟城（南区公寓住宅）</x:v>
      </x:c>
      <x:c r="O8" s="75" t="str">
        <x:v>https://m.anjuke.com/sh/rent/</x:v>
      </x:c>
      <x:c r="P8" s="76" t="d">
        <x:v>2026-10-26T00:00:00.000Z</x:v>
      </x:c>
      <x:c r="Q8" s="75" t="str">
        <x:v>2026-10-26；页面显示1室2厅1300元/月的低价示例；可能为公寓或特殊房源，面积未在页面上稳定呈现，不当作典型一居。</x:v>
      </x:c>
    </x:row>
    <x:row r="9" ht="76" customHeight="1">
      <x:c r="A9" s="78" t="str">
        <x:v>上海</x:v>
      </x:c>
      <x:c r="B9" s="78" t="str">
        <x:v>临港</x:v>
      </x:c>
      <x:c r="C9" s="78" t="str">
        <x:v>合租单间</x:v>
      </x:c>
      <x:c r="D9" s="78"/>
      <x:c r="E9" s="80" t="n">
        <x:v>1100</x:v>
      </x:c>
      <x:c r="F9" s="78" t="n">
        <x:v>1</x:v>
      </x:c>
      <x:c r="G9" s="78"/>
      <x:c r="H9" s="78"/>
      <x:c r="I9" s="78"/>
      <x:c r="J9" s="78"/>
      <x:c r="K9" s="78"/>
      <x:c r="L9" s="78"/>
      <x:c r="M9" s="78" t="str">
        <x:v>C</x:v>
      </x:c>
      <x:c r="N9" s="78" t="str">
        <x:v>58同城：保利蔚蓝林语合租单间</x:v>
      </x:c>
      <x:c r="O9" s="78" t="str">
        <x:v>https://sh.58.com/hezu/4088587099561999x.shtml</x:v>
      </x:c>
      <x:c r="P9" s="79" t="d">
        <x:v>2025-06-03T00:00:00.000Z</x:v>
      </x:c>
      <x:c r="Q9" s="78" t="str">
        <x:v>2026-10-26；独立卫浴单间；历史挂牌，面积、水电和服务费未完整核实。</x:v>
      </x:c>
    </x:row>
    <x:row r="10" ht="76" customHeight="1">
      <x:c r="A10" s="75" t="str">
        <x:v>上海</x:v>
      </x:c>
      <x:c r="B10" s="75" t="str">
        <x:v>临港新城</x:v>
      </x:c>
      <x:c r="C10" s="75" t="str">
        <x:v>合租单间</x:v>
      </x:c>
      <x:c r="D10" s="75"/>
      <x:c r="E10" s="77" t="n">
        <x:v>1500</x:v>
      </x:c>
      <x:c r="F10" s="75" t="n">
        <x:v>1</x:v>
      </x:c>
      <x:c r="G10" s="75"/>
      <x:c r="H10" s="75"/>
      <x:c r="I10" s="75"/>
      <x:c r="J10" s="75"/>
      <x:c r="K10" s="75"/>
      <x:c r="L10" s="75"/>
      <x:c r="M10" s="75" t="str">
        <x:v>C</x:v>
      </x:c>
      <x:c r="N10" s="75" t="str">
        <x:v>临港合租市场观察区间上沿</x:v>
      </x:c>
      <x:c r="O10" s="75" t="str">
        <x:v>https://m.anjuke.com/sh/rent/</x:v>
      </x:c>
      <x:c r="P10" s="76" t="d">
        <x:v>2026-10-26T00:00:00.000Z</x:v>
      </x:c>
      <x:c r="Q10" s="75" t="str">
        <x:v>2026-10-26；由少量平台与搜索样本形成的观察上沿，面积和样本量不透明；不是统计中位数。</x:v>
      </x:c>
    </x:row>
    <x:row r="11" ht="76" customHeight="1">
      <x:c r="A11" s="78" t="str">
        <x:v>上海</x:v>
      </x:c>
      <x:c r="B11" s="78" t="str">
        <x:v>临港</x:v>
      </x:c>
      <x:c r="C11" s="78" t="str">
        <x:v>整租</x:v>
      </x:c>
      <x:c r="D11" s="78" t="n">
        <x:v>77</x:v>
      </x:c>
      <x:c r="E11" s="80" t="n">
        <x:v>2000</x:v>
      </x:c>
      <x:c r="F11" s="78" t="n">
        <x:v>1</x:v>
      </x:c>
      <x:c r="G11" s="78"/>
      <x:c r="H11" s="78"/>
      <x:c r="I11" s="78"/>
      <x:c r="J11" s="78"/>
      <x:c r="K11" s="78"/>
      <x:c r="L11" s="78"/>
      <x:c r="M11" s="78" t="str">
        <x:v>C</x:v>
      </x:c>
      <x:c r="N11" s="78" t="str">
        <x:v>房天下：宜浩佳园</x:v>
      </x:c>
      <x:c r="O11" s="78" t="str">
        <x:v>https://zu.fang.com/sh/chuzu/8_1016019970_1.htm</x:v>
      </x:c>
      <x:c r="P11" s="79" t="d">
        <x:v>2025-07-10T00:00:00.000Z</x:v>
      </x:c>
      <x:c r="Q11" s="78" t="str">
        <x:v>2026-10-26；1室2厅77㎡；历史挂牌，户型面积不典型。</x:v>
      </x:c>
    </x:row>
    <x:row r="12" ht="76" customHeight="1">
      <x:c r="A12" s="75" t="str">
        <x:v>上海</x:v>
      </x:c>
      <x:c r="B12" s="75" t="str">
        <x:v>临港</x:v>
      </x:c>
      <x:c r="C12" s="75" t="str">
        <x:v>整租</x:v>
      </x:c>
      <x:c r="D12" s="75" t="n">
        <x:v>84</x:v>
      </x:c>
      <x:c r="E12" s="77" t="n">
        <x:v>2300</x:v>
      </x:c>
      <x:c r="F12" s="75" t="n">
        <x:v>1</x:v>
      </x:c>
      <x:c r="G12" s="75"/>
      <x:c r="H12" s="75"/>
      <x:c r="I12" s="75"/>
      <x:c r="J12" s="75"/>
      <x:c r="K12" s="75"/>
      <x:c r="L12" s="75"/>
      <x:c r="M12" s="75" t="str">
        <x:v>C</x:v>
      </x:c>
      <x:c r="N12" s="75" t="str">
        <x:v>贝壳：绿地东岸涟城</x:v>
      </x:c>
      <x:c r="O12" s="75" t="str">
        <x:v>https://m.ke.com/chuzu/sh/zufang/SH1661736411599994880.html</x:v>
      </x:c>
      <x:c r="P12" s="76" t="d">
        <x:v>2025-09-01T00:00:00.000Z</x:v>
      </x:c>
      <x:c r="Q12" s="75" t="str">
        <x:v>2026-10-26；2室1厅84㎡；适合合租或情侣，不是单人一居。</x:v>
      </x:c>
    </x:row>
    <x:row r="13" ht="76" customHeight="1">
      <x:c r="A13" s="78" t="str">
        <x:v>上海</x:v>
      </x:c>
      <x:c r="B13" s="78" t="str">
        <x:v>临港主城区</x:v>
      </x:c>
      <x:c r="C13" s="78" t="str">
        <x:v>条件性人才住房</x:v>
      </x:c>
      <x:c r="D13" s="78" t="n">
        <x:v>31.27</x:v>
      </x:c>
      <x:c r="E13" s="80" t="n">
        <x:v>1000</x:v>
      </x:c>
      <x:c r="F13" s="78" t="n">
        <x:v>1</x:v>
      </x:c>
      <x:c r="G13" s="78"/>
      <x:c r="H13" s="78"/>
      <x:c r="I13" s="78" t="n">
        <x:v>0</x:v>
      </x:c>
      <x:c r="J13" s="78"/>
      <x:c r="K13" s="78"/>
      <x:c r="L13" s="78" t="n">
        <x:v>6.5</x:v>
      </x:c>
      <x:c r="M13" s="78" t="str">
        <x:v>A</x:v>
      </x:c>
      <x:c r="N13" s="78" t="str">
        <x:v>临港人才公寓：宸寓·星苑</x:v>
      </x:c>
      <x:c r="O13" s="78" t="str">
        <x:v>https://www.lingang.gov.cn/html/website/lg/rc/hotspot/redianxinwen/p1781237685213462530.html</x:v>
      </x:c>
      <x:c r="P13" s="79" t="d">
        <x:v>2024-04-12T00:00:00.000Z</x:v>
      </x:c>
      <x:c r="Q13" s="78" t="str">
        <x:v>2026-10-26；官方人才公寓一居室低端租金；rent_mode=other用于标识条件性人才住房，需符合资格，距滴水湖站约6.5公里。</x:v>
      </x:c>
    </x:row>
    <x:row r="14" ht="76" customHeight="1">
      <x:c r="A14" s="75" t="str">
        <x:v>上海</x:v>
      </x:c>
      <x:c r="B14" s="75" t="str">
        <x:v>临港主城区</x:v>
      </x:c>
      <x:c r="C14" s="75" t="str">
        <x:v>条件性人才住房</x:v>
      </x:c>
      <x:c r="D14" s="75" t="n">
        <x:v>53.25</x:v>
      </x:c>
      <x:c r="E14" s="77" t="n">
        <x:v>1800</x:v>
      </x:c>
      <x:c r="F14" s="75" t="n">
        <x:v>1</x:v>
      </x:c>
      <x:c r="G14" s="75"/>
      <x:c r="H14" s="75"/>
      <x:c r="I14" s="75" t="n">
        <x:v>0</x:v>
      </x:c>
      <x:c r="J14" s="75"/>
      <x:c r="K14" s="75"/>
      <x:c r="L14" s="75" t="n">
        <x:v>6.5</x:v>
      </x:c>
      <x:c r="M14" s="75" t="str">
        <x:v>A</x:v>
      </x:c>
      <x:c r="N14" s="75" t="str">
        <x:v>临港人才公寓：宸寓·星苑</x:v>
      </x:c>
      <x:c r="O14" s="75" t="str">
        <x:v>https://www.lingang.gov.cn/html/website/lg/rc/hotspot/redianxinwen/p1781237685213462530.html</x:v>
      </x:c>
      <x:c r="P14" s="76" t="d">
        <x:v>2024-04-12T00:00:00.000Z</x:v>
      </x:c>
      <x:c r="Q14" s="75" t="str">
        <x:v>2026-10-26；官方人才公寓一居室高端租金；rent_mode=other用于标识条件性人才住房，资格与空房需另核。</x:v>
      </x:c>
    </x:row>
    <x:row r="18" ht="76" customHeight="1">
      <x:c r="S18" s="29" t="str">
        <x:v>月租是挂牌、页面展示或官方项目价，不是个人最终成交价。挂牌数未知时留空，不当作零。</x:v>
      </x:c>
    </x:row>
    <x:row r="22" ht="64" customHeight="1">
      <x:c r="S22" s="29" t="str">
        <x:v>人才公寓需满足资格且有房；其官方价不能无条件套给所有毕业生。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53" hidden="0" customWidth="1"/>
    <x:col min="5" max="5" width="8" hidden="0" customWidth="1"/>
    <x:col min="6" max="6" width="12" hidden="0" customWidth="1"/>
    <x:col min="7" max="7" width="12" hidden="0" customWidth="1"/>
    <x:col min="8" max="8" width="26" hidden="0" customWidth="1"/>
    <x:col min="9" max="9" width="12" hidden="0" customWidth="1"/>
    <x:col min="10" max="10" width="8" hidden="0" customWidth="1"/>
    <x:col min="11" max="11" width="66" hidden="0" customWidth="1"/>
    <x:col min="12" max="12" width="2" hidden="0" customWidth="1"/>
    <x:col min="13" max="13" width="54" hidden="0" customWidth="1"/>
  </x:cols>
  <x:sheetData>
    <x:row r="2" ht="28" customHeight="1">
      <x:c r="A2" s="3" t="str">
        <x:v>官方工资、收入、消费与税费规则校准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32" customHeight="1">
      <x:c r="A5" s="21" t="str">
        <x:v>地区</x:v>
      </x:c>
      <x:c r="B5" s="21" t="str">
        <x:v>指标</x:v>
      </x:c>
      <x:c r="C5" s="21" t="str">
        <x:v>年份</x:v>
      </x:c>
      <x:c r="D5" s="21" t="str">
        <x:v>统计期</x:v>
      </x:c>
      <x:c r="E5" s="21" t="str">
        <x:v>数值</x:v>
      </x:c>
      <x:c r="F5" s="21" t="str">
        <x:v>单位</x:v>
      </x:c>
      <x:c r="G5" s="21" t="str">
        <x:v>样本量</x:v>
      </x:c>
      <x:c r="H5" s="21" t="str">
        <x:v>来源</x:v>
      </x:c>
      <x:c r="I5" s="21" t="str">
        <x:v>发布日</x:v>
      </x:c>
      <x:c r="J5" s="21" t="str">
        <x:v>证据</x:v>
      </x:c>
      <x:c r="K5" s="21" t="str">
        <x:v>口径</x:v>
      </x:c>
    </x:row>
    <x:row r="6" ht="44" customHeight="1">
      <x:c r="A6" s="22" t="str">
        <x:v>上海</x:v>
      </x:c>
      <x:c r="B6" s="22" t="str">
        <x:v>全口径城镇单位就业人员平均工资</x:v>
      </x:c>
      <x:c r="C6" s="22" t="n">
        <x:v>2025</x:v>
      </x:c>
      <x:c r="D6" s="22" t="str">
        <x:v>月</x:v>
      </x:c>
      <x:c r="E6" s="82" t="n">
        <x:v>12577</x:v>
      </x:c>
      <x:c r="F6" s="22" t="str">
        <x:v>元/月</x:v>
      </x:c>
      <x:c r="G6" s="22"/>
      <x:c r="H6" s="22" t="str">
        <x:v>上海市人社局</x:v>
      </x:c>
      <x:c r="I6" s="73" t="d">
        <x:v>2026-08-18T00:00:00.000Z</x:v>
      </x:c>
      <x:c r="J6" s="22" t="str">
        <x:v>A</x:v>
      </x:c>
      <x:c r="K6" s="22" t="str">
        <x:v>用于社保口径的官方全口径平均工资，不是2027电气本科应届招聘中位数。</x:v>
      </x:c>
    </x:row>
    <x:row r="7" ht="44" customHeight="1">
      <x:c r="A7" s="23" t="str">
        <x:v>上海</x:v>
      </x:c>
      <x:c r="B7" s="23" t="str">
        <x:v>居民人均可支配收入</x:v>
      </x:c>
      <x:c r="C7" s="23" t="n">
        <x:v>2025</x:v>
      </x:c>
      <x:c r="D7" s="23" t="str">
        <x:v>年</x:v>
      </x:c>
      <x:c r="E7" s="83" t="n">
        <x:v>91987</x:v>
      </x:c>
      <x:c r="F7" s="23" t="str">
        <x:v>元/年</x:v>
      </x:c>
      <x:c r="G7" s="23"/>
      <x:c r="H7" s="23" t="str">
        <x:v>上海市统计局</x:v>
      </x:c>
      <x:c r="I7" s="74" t="d">
        <x:v>2026-01-20T00:00:00.000Z</x:v>
      </x:c>
      <x:c r="J7" s="23" t="str">
        <x:v>A</x:v>
      </x:c>
      <x:c r="K7" s="23" t="str">
        <x:v>全体居民口径，不能当作目标岗位工资。</x:v>
      </x:c>
    </x:row>
    <x:row r="8" ht="44" customHeight="1">
      <x:c r="A8" s="22" t="str">
        <x:v>上海</x:v>
      </x:c>
      <x:c r="B8" s="22" t="str">
        <x:v>居民人均消费支出</x:v>
      </x:c>
      <x:c r="C8" s="22" t="n">
        <x:v>2025</x:v>
      </x:c>
      <x:c r="D8" s="22" t="str">
        <x:v>年</x:v>
      </x:c>
      <x:c r="E8" s="82" t="n">
        <x:v>54765</x:v>
      </x:c>
      <x:c r="F8" s="22" t="str">
        <x:v>元/年</x:v>
      </x:c>
      <x:c r="G8" s="22"/>
      <x:c r="H8" s="22" t="str">
        <x:v>上海市统计局</x:v>
      </x:c>
      <x:c r="I8" s="73" t="d">
        <x:v>2026-01-20T00:00:00.000Z</x:v>
      </x:c>
      <x:c r="J8" s="22" t="str">
        <x:v>A</x:v>
      </x:c>
      <x:c r="K8" s="22" t="str">
        <x:v>全体居民平均口径，含家庭消费结构，不直接替代单身青年预算。</x:v>
      </x:c>
    </x:row>
    <x:row r="9" ht="44" customHeight="1">
      <x:c r="A9" s="23" t="str">
        <x:v>上海</x:v>
      </x:c>
      <x:c r="B9" s="23" t="str">
        <x:v>城镇常住居民人均消费支出</x:v>
      </x:c>
      <x:c r="C9" s="23" t="n">
        <x:v>2025</x:v>
      </x:c>
      <x:c r="D9" s="23" t="str">
        <x:v>年</x:v>
      </x:c>
      <x:c r="E9" s="83" t="n">
        <x:v>57076</x:v>
      </x:c>
      <x:c r="F9" s="23" t="str">
        <x:v>元/年</x:v>
      </x:c>
      <x:c r="G9" s="23"/>
      <x:c r="H9" s="23" t="str">
        <x:v>上海市统计局</x:v>
      </x:c>
      <x:c r="I9" s="74" t="d">
        <x:v>2026-01-20T00:00:00.000Z</x:v>
      </x:c>
      <x:c r="J9" s="23" t="str">
        <x:v>A</x:v>
      </x:c>
      <x:c r="K9" s="23" t="str">
        <x:v>城镇常住居民平均口径，只作外部交叉校验。</x:v>
      </x:c>
    </x:row>
    <x:row r="12">
      <x:c r="A12" s="68" t="str">
        <x:v>本报告实际使用的税费与公积金参数</x:v>
      </x:c>
    </x:row>
    <x:row r="13" ht="32" customHeight="1">
      <x:c r="A13" s="21" t="str">
        <x:v>项目</x:v>
      </x:c>
      <x:c r="B13" s="21" t="str">
        <x:v>参数</x:v>
      </x:c>
      <x:c r="C13" s="21" t="str">
        <x:v>单位</x:v>
      </x:c>
      <x:c r="D13" s="21" t="str">
        <x:v>来源/解释</x:v>
      </x:c>
      <x:c r="E13" s="21" t="str">
        <x:v>证据</x:v>
      </x:c>
      <x:c r="F13" s="21" t="str">
        <x:v>用于模型</x:v>
      </x:c>
    </x:row>
    <x:row r="14" ht="28" customHeight="1">
      <x:c r="A14" s="22" t="str">
        <x:v>社保缴费基数下限</x:v>
      </x:c>
      <x:c r="B14" s="25" t="n">
        <x:v>7546</x:v>
      </x:c>
      <x:c r="C14" s="22" t="str">
        <x:v>元/月</x:v>
      </x:c>
      <x:c r="D14" s="22" t="str">
        <x:v>2026年上海社保公告</x:v>
      </x:c>
      <x:c r="E14" s="22" t="str">
        <x:v>A</x:v>
      </x:c>
      <x:c r="F14" s="22" t="str">
        <x:v>是</x:v>
      </x:c>
    </x:row>
    <x:row r="15" ht="28" customHeight="1">
      <x:c r="A15" s="23" t="str">
        <x:v>社保缴费基数上限</x:v>
      </x:c>
      <x:c r="B15" s="24" t="n">
        <x:v>37731</x:v>
      </x:c>
      <x:c r="C15" s="23" t="str">
        <x:v>元/月</x:v>
      </x:c>
      <x:c r="D15" s="23" t="str">
        <x:v>2026年上海社保公告</x:v>
      </x:c>
      <x:c r="E15" s="23" t="str">
        <x:v>A</x:v>
      </x:c>
      <x:c r="F15" s="23" t="str">
        <x:v>是</x:v>
      </x:c>
    </x:row>
    <x:row r="16" ht="28" customHeight="1">
      <x:c r="A16" s="22" t="str">
        <x:v>个人社保比例</x:v>
      </x:c>
      <x:c r="B16" s="26" t="n">
        <x:v>0.105</x:v>
      </x:c>
      <x:c r="C16" s="22" t="str">
        <x:v>比例</x:v>
      </x:c>
      <x:c r="D16" s="22" t="str">
        <x:v>养老、医疗、失业保险个人合计</x:v>
      </x:c>
      <x:c r="E16" s="22" t="str">
        <x:v>A</x:v>
      </x:c>
      <x:c r="F16" s="22" t="str">
        <x:v>是</x:v>
      </x:c>
    </x:row>
    <x:row r="17" ht="28" customHeight="1">
      <x:c r="A17" s="23" t="str">
        <x:v>公积金基数下限</x:v>
      </x:c>
      <x:c r="B17" s="24" t="n">
        <x:v>2740</x:v>
      </x:c>
      <x:c r="C17" s="23" t="str">
        <x:v>元/月</x:v>
      </x:c>
      <x:c r="D17" s="23" t="str">
        <x:v>2026年上海公积金缴存基数</x:v>
      </x:c>
      <x:c r="E17" s="23" t="str">
        <x:v>A</x:v>
      </x:c>
      <x:c r="F17" s="23" t="str">
        <x:v>是</x:v>
      </x:c>
    </x:row>
    <x:row r="18" ht="28" customHeight="1">
      <x:c r="A18" s="22" t="str">
        <x:v>公积金基数上限</x:v>
      </x:c>
      <x:c r="B18" s="25" t="n">
        <x:v>37731</x:v>
      </x:c>
      <x:c r="C18" s="22" t="str">
        <x:v>元/月</x:v>
      </x:c>
      <x:c r="D18" s="22" t="str">
        <x:v>2026年上海公积金缴存基数</x:v>
      </x:c>
      <x:c r="E18" s="22" t="str">
        <x:v>A</x:v>
      </x:c>
      <x:c r="F18" s="22" t="str">
        <x:v>是</x:v>
      </x:c>
    </x:row>
    <x:row r="19" ht="28" customHeight="1">
      <x:c r="A19" s="23" t="str">
        <x:v>个人主公积金比例</x:v>
      </x:c>
      <x:c r="B19" s="84" t="n">
        <x:v>0.07</x:v>
      </x:c>
      <x:c r="C19" s="23" t="str">
        <x:v>比例</x:v>
      </x:c>
      <x:c r="D19" s="23" t="str">
        <x:v>主模型7%，5%做敏感性</x:v>
      </x:c>
      <x:c r="E19" s="23" t="str">
        <x:v>A</x:v>
      </x:c>
      <x:c r="F19" s="23" t="str">
        <x:v>是</x:v>
      </x:c>
    </x:row>
    <x:row r="20" ht="28" customHeight="1">
      <x:c r="A20" s="22" t="str">
        <x:v>住房租金专项附加扣除</x:v>
      </x:c>
      <x:c r="B20" s="25" t="n">
        <x:v>1500</x:v>
      </x:c>
      <x:c r="C20" s="22" t="str">
        <x:v>元/月</x:v>
      </x:c>
      <x:c r="D20" s="22" t="str">
        <x:v>上海住房租金专项附加扣除标准</x:v>
      </x:c>
      <x:c r="E20" s="22" t="str">
        <x:v>A</x:v>
      </x:c>
      <x:c r="F20" s="22" t="str">
        <x:v>是</x:v>
      </x:c>
    </x:row>
    <x:row r="21" ht="28" customHeight="1">
      <x:c r="A21" s="23" t="str">
        <x:v>年度基本减除费用</x:v>
      </x:c>
      <x:c r="B21" s="24" t="n">
        <x:v>60000</x:v>
      </x:c>
      <x:c r="C21" s="23" t="str">
        <x:v>元/年</x:v>
      </x:c>
      <x:c r="D21" s="23" t="str">
        <x:v>居民个人综合所得</x:v>
      </x:c>
      <x:c r="E21" s="23" t="str">
        <x:v>A</x:v>
      </x:c>
      <x:c r="F21" s="23" t="str">
        <x:v>是</x:v>
      </x:c>
    </x:row>
    <x:row r="22" ht="28" customHeight="1">
      <x:c r="A22" s="22" t="str">
        <x:v>2025全口径月均工资</x:v>
      </x:c>
      <x:c r="B22" s="25" t="n">
        <x:v>12577</x:v>
      </x:c>
      <x:c r="C22" s="22" t="str">
        <x:v>元/月</x:v>
      </x:c>
      <x:c r="D22" s="22" t="str">
        <x:v>外部参考，不是目标岗位工资中位数</x:v>
      </x:c>
      <x:c r="E22" s="22" t="str">
        <x:v>A</x:v>
      </x:c>
      <x:c r="F22" s="22" t="str">
        <x:v>否</x:v>
      </x:c>
    </x:row>
    <x:row r="24" ht="80" customHeight="1">
      <x:c r="M24" s="29" t="str">
        <x:v>官方工资和居民收入只作外部分母，不代表2027电气本科招聘起薪。来源入口与原始日期保留在证据台账。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4" hidden="0" customWidth="1"/>
    <x:col min="10" max="10" width="16" hidden="0" customWidth="1"/>
    <x:col min="11" max="11" width="8" hidden="0" customWidth="1"/>
    <x:col min="12" max="12" width="43" hidden="0" customWidth="1"/>
    <x:col min="13" max="13" width="12" hidden="0" customWidth="1"/>
    <x:col min="14" max="14" width="12" hidden="0" customWidth="1"/>
    <x:col min="15" max="15" width="74" hidden="0" customWidth="1"/>
    <x:col min="16" max="16" width="2" hidden="0" customWidth="1"/>
    <x:col min="17" max="17" width="54" hidden="0" customWidth="1"/>
  </x:cols>
  <x:sheetData>
    <x:row r="2" ht="28" customHeight="1">
      <x:c r="A2" s="3" t="str">
        <x:v>餐饮、水电气网、通勤与其他固定支出明细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5" ht="32" customHeight="1">
      <x:c r="A5" s="21" t="str">
        <x:v>城市</x:v>
      </x:c>
      <x:c r="B5" s="21" t="str">
        <x:v>区县/板块</x:v>
      </x:c>
      <x:c r="C5" s="21" t="str">
        <x:v>餐饮/月</x:v>
      </x:c>
      <x:c r="D5" s="21" t="str">
        <x:v>水费/月</x:v>
      </x:c>
      <x:c r="E5" s="21" t="str">
        <x:v>电费/月</x:v>
      </x:c>
      <x:c r="F5" s="21" t="str">
        <x:v>燃气/月</x:v>
      </x:c>
      <x:c r="G5" s="21" t="str">
        <x:v>网络/月</x:v>
      </x:c>
      <x:c r="H5" s="21" t="str">
        <x:v>通勤/月</x:v>
      </x:c>
      <x:c r="I5" s="21" t="str">
        <x:v>其他固定/月</x:v>
      </x:c>
      <x:c r="J5" s="21" t="str">
        <x:v>生活成本小计</x:v>
      </x:c>
      <x:c r="K5" s="21" t="str">
        <x:v>证据</x:v>
      </x:c>
      <x:c r="L5" s="21" t="str">
        <x:v>来源</x:v>
      </x:c>
      <x:c r="M5" s="21" t="str">
        <x:v>发布日</x:v>
      </x:c>
      <x:c r="N5" s="21" t="str">
        <x:v>采集日</x:v>
      </x:c>
      <x:c r="O5" s="21" t="str">
        <x:v>口径</x:v>
      </x:c>
    </x:row>
    <x:row r="6" ht="68" customHeight="1">
      <x:c r="A6" s="75" t="str">
        <x:v>上海</x:v>
      </x:c>
      <x:c r="B6" s="75" t="str">
        <x:v>临港</x:v>
      </x:c>
      <x:c r="C6" s="77" t="n">
        <x:v>1500</x:v>
      </x:c>
      <x:c r="D6" s="77" t="n">
        <x:v>16.2</x:v>
      </x:c>
      <x:c r="E6" s="77" t="n">
        <x:v>61.7</x:v>
      </x:c>
      <x:c r="F6" s="77" t="n">
        <x:v>18</x:v>
      </x:c>
      <x:c r="G6" s="77" t="n">
        <x:v>50</x:v>
      </x:c>
      <x:c r="H6" s="77" t="n">
        <x:v>160</x:v>
      </x:c>
      <x:c r="I6" s="77" t="n">
        <x:v>300</x:v>
      </x:c>
      <x:c r="J6" s="77" t="n">
        <x:f>SUM(C6:I6)</x:f>
        <x:v>2105.9</x:v>
      </x:c>
      <x:c r="K6" s="75" t="str">
        <x:v>C</x:v>
      </x:c>
      <x:c r="L6" s="75" t="str">
        <x:v>https://www.shobserver.cn/sgh/detail?id=1695525</x:v>
      </x:c>
      <x:c r="M6" s="76" t="d">
        <x:v>2026-01-14T00:00:00.000Z</x:v>
      </x:c>
      <x:c r="N6" s="75" t="str">
        <x:v>2026-10-26</x:v>
      </x:c>
      <x:c r="O6" s="75" t="str">
        <x:v>合租个人分摊；餐饮低档1500元=8+18+20元/日×30，不含优惠券；水4m³、电100kWh/2人、气6m³/2人、网50元/人。</x:v>
      </x:c>
    </x:row>
    <x:row r="7" ht="68" customHeight="1">
      <x:c r="A7" s="78" t="str">
        <x:v>上海</x:v>
      </x:c>
      <x:c r="B7" s="78" t="str">
        <x:v>临港</x:v>
      </x:c>
      <x:c r="C7" s="80" t="n">
        <x:v>2100</x:v>
      </x:c>
      <x:c r="D7" s="80" t="n">
        <x:v>16.2</x:v>
      </x:c>
      <x:c r="E7" s="80" t="n">
        <x:v>61.7</x:v>
      </x:c>
      <x:c r="F7" s="80" t="n">
        <x:v>18</x:v>
      </x:c>
      <x:c r="G7" s="80" t="n">
        <x:v>50</x:v>
      </x:c>
      <x:c r="H7" s="80" t="n">
        <x:v>160</x:v>
      </x:c>
      <x:c r="I7" s="80" t="n">
        <x:v>300</x:v>
      </x:c>
      <x:c r="J7" s="80" t="n">
        <x:f>SUM(C7:I7)</x:f>
        <x:v>2705.8999999999996</x:v>
      </x:c>
      <x:c r="K7" s="78" t="str">
        <x:v>C</x:v>
      </x:c>
      <x:c r="L7" s="78" t="str">
        <x:v>https://www.shobserver.cn/sgh/detail?id=1695525</x:v>
      </x:c>
      <x:c r="M7" s="79" t="d">
        <x:v>2026-01-14T00:00:00.000Z</x:v>
      </x:c>
      <x:c r="N7" s="78" t="str">
        <x:v>2026-10-26</x:v>
      </x:c>
      <x:c r="O7" s="78" t="str">
        <x:v>主情景；餐饮2100元=70元/日×30；其他固定300元含手机、清洁和个人用品，未含旅行/医疗。</x:v>
      </x:c>
    </x:row>
    <x:row r="8" ht="68" customHeight="1">
      <x:c r="A8" s="75" t="str">
        <x:v>上海</x:v>
      </x:c>
      <x:c r="B8" s="75" t="str">
        <x:v>临港</x:v>
      </x:c>
      <x:c r="C8" s="77" t="n">
        <x:v>2800</x:v>
      </x:c>
      <x:c r="D8" s="77" t="n">
        <x:v>16.2</x:v>
      </x:c>
      <x:c r="E8" s="77" t="n">
        <x:v>61.7</x:v>
      </x:c>
      <x:c r="F8" s="77" t="n">
        <x:v>18</x:v>
      </x:c>
      <x:c r="G8" s="77" t="n">
        <x:v>50</x:v>
      </x:c>
      <x:c r="H8" s="77" t="n">
        <x:v>160</x:v>
      </x:c>
      <x:c r="I8" s="77" t="n">
        <x:v>300</x:v>
      </x:c>
      <x:c r="J8" s="77" t="n">
        <x:f>SUM(C8:I8)</x:f>
        <x:v>3405.8999999999996</x:v>
      </x:c>
      <x:c r="K8" s="75" t="str">
        <x:v>C</x:v>
      </x:c>
      <x:c r="L8" s="75" t="str">
        <x:v>https://sh.58.com/lingangxinc/kuaican/list_25/</x:v>
      </x:c>
      <x:c r="M8" s="76" t="d">
        <x:v>2026-10-26T00:00:00.000Z</x:v>
      </x:c>
      <x:c r="N8" s="75" t="str">
        <x:v>2026-10-26</x:v>
      </x:c>
      <x:c r="O8" s="75" t="str">
        <x:v>外卖高频情景；约93元/日×30，按单餐商品20-35元加配送/包装2-9元组合，不假定长期优惠券。</x:v>
      </x:c>
    </x:row>
    <x:row r="9" ht="68" customHeight="1">
      <x:c r="A9" s="78" t="str">
        <x:v>上海</x:v>
      </x:c>
      <x:c r="B9" s="78" t="str">
        <x:v>临港</x:v>
      </x:c>
      <x:c r="C9" s="80" t="n">
        <x:v>1500</x:v>
      </x:c>
      <x:c r="D9" s="80" t="n">
        <x:v>16.2</x:v>
      </x:c>
      <x:c r="E9" s="80" t="n">
        <x:v>74.04</x:v>
      </x:c>
      <x:c r="F9" s="80" t="n">
        <x:v>18</x:v>
      </x:c>
      <x:c r="G9" s="80" t="n">
        <x:v>100</x:v>
      </x:c>
      <x:c r="H9" s="80" t="n">
        <x:v>160</x:v>
      </x:c>
      <x:c r="I9" s="80" t="n">
        <x:v>300</x:v>
      </x:c>
      <x:c r="J9" s="80" t="n">
        <x:f>SUM(C9:I9)</x:f>
        <x:v>2168.24</x:v>
      </x:c>
      <x:c r="K9" s="78" t="str">
        <x:v>C</x:v>
      </x:c>
      <x:c r="L9" s="78" t="str">
        <x:v>https://www.shobserver.cn/sgh/detail?id=1695525</x:v>
      </x:c>
      <x:c r="M9" s="79" t="d">
        <x:v>2026-01-14T00:00:00.000Z</x:v>
      </x:c>
      <x:c r="N9" s="78" t="str">
        <x:v>2026-10-26</x:v>
      </x:c>
      <x:c r="O9" s="78" t="str">
        <x:v>整租个人承担；水4m³、电120kWh、气6m³、网100元；餐饮低档1500元。</x:v>
      </x:c>
    </x:row>
    <x:row r="10" ht="68" customHeight="1">
      <x:c r="A10" s="75" t="str">
        <x:v>上海</x:v>
      </x:c>
      <x:c r="B10" s="75" t="str">
        <x:v>临港</x:v>
      </x:c>
      <x:c r="C10" s="77" t="n">
        <x:v>2100</x:v>
      </x:c>
      <x:c r="D10" s="77" t="n">
        <x:v>16.2</x:v>
      </x:c>
      <x:c r="E10" s="77" t="n">
        <x:v>74.04</x:v>
      </x:c>
      <x:c r="F10" s="77" t="n">
        <x:v>18</x:v>
      </x:c>
      <x:c r="G10" s="77" t="n">
        <x:v>100</x:v>
      </x:c>
      <x:c r="H10" s="77" t="n">
        <x:v>160</x:v>
      </x:c>
      <x:c r="I10" s="77" t="n">
        <x:v>300</x:v>
      </x:c>
      <x:c r="J10" s="77" t="n">
        <x:f>SUM(C10:I10)</x:f>
        <x:v>2768.24</x:v>
      </x:c>
      <x:c r="K10" s="75" t="str">
        <x:v>C</x:v>
      </x:c>
      <x:c r="L10" s="75" t="str">
        <x:v>https://www.shobserver.cn/sgh/detail?id=1695525</x:v>
      </x:c>
      <x:c r="M10" s="76" t="d">
        <x:v>2026-01-14T00:00:00.000Z</x:v>
      </x:c>
      <x:c r="N10" s="75" t="str">
        <x:v>2026-10-26</x:v>
      </x:c>
      <x:c r="O10" s="75" t="str">
        <x:v>整租主情景；餐饮2100元；其他固定300元；未含旅游、医疗和家电一次性支出。</x:v>
      </x:c>
    </x:row>
    <x:row r="11" ht="68" customHeight="1">
      <x:c r="A11" s="78" t="str">
        <x:v>上海</x:v>
      </x:c>
      <x:c r="B11" s="78" t="str">
        <x:v>临港</x:v>
      </x:c>
      <x:c r="C11" s="80" t="n">
        <x:v>2800</x:v>
      </x:c>
      <x:c r="D11" s="80" t="n">
        <x:v>16.2</x:v>
      </x:c>
      <x:c r="E11" s="80" t="n">
        <x:v>74.04</x:v>
      </x:c>
      <x:c r="F11" s="80" t="n">
        <x:v>18</x:v>
      </x:c>
      <x:c r="G11" s="80" t="n">
        <x:v>100</x:v>
      </x:c>
      <x:c r="H11" s="80" t="n">
        <x:v>160</x:v>
      </x:c>
      <x:c r="I11" s="80" t="n">
        <x:v>300</x:v>
      </x:c>
      <x:c r="J11" s="80" t="n">
        <x:f>SUM(C11:I11)</x:f>
        <x:v>3468.24</x:v>
      </x:c>
      <x:c r="K11" s="78" t="str">
        <x:v>C</x:v>
      </x:c>
      <x:c r="L11" s="78" t="str">
        <x:v>https://sh.58.com/lingangxinc/kuaican/list_25/</x:v>
      </x:c>
      <x:c r="M11" s="79" t="d">
        <x:v>2026-10-26T00:00:00.000Z</x:v>
      </x:c>
      <x:c r="N11" s="78" t="str">
        <x:v>2026-10-26</x:v>
      </x:c>
      <x:c r="O11" s="78" t="str">
        <x:v>整租外卖高频情景；水电气按官方单价和透明用量计算，餐饮为模型篮子。</x:v>
      </x:c>
    </x:row>
    <x:row r="14" ht="82" customHeight="1">
      <x:c r="Q14" s="29" t="str">
        <x:v>餐饮为模型篮子，水电燃气按官方单价和透明用量计算。合租与整租分别分摊；未包含旅行、医疗和家电一次性采购。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8" hidden="0" customWidth="1"/>
    <x:col min="5" max="5" width="46" hidden="0" customWidth="1"/>
    <x:col min="6" max="6" width="12" hidden="0" customWidth="1"/>
    <x:col min="7" max="7" width="12" hidden="0" customWidth="1"/>
    <x:col min="8" max="8" width="8" hidden="0" customWidth="1"/>
    <x:col min="9" max="9" width="42" hidden="0" customWidth="1"/>
    <x:col min="10" max="10" width="42" hidden="0" customWidth="1"/>
    <x:col min="11" max="11" width="62" hidden="0" customWidth="1"/>
    <x:col min="12" max="12" width="42" hidden="0" customWidth="1"/>
    <x:col min="13" max="13" width="2" hidden="0" customWidth="1"/>
    <x:col min="14" max="14" width="54" hidden="0" customWidth="1"/>
  </x:cols>
  <x:sheetData>
    <x:row r="2" ht="28" customHeight="1">
      <x:c r="A2" s="3" t="str">
        <x:v>每项关键数据的来源、日期、范围与原始文件</x:v>
      </x:c>
    </x:row>
    <x:row r="3" ht="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32" customHeight="1">
      <x:c r="A5" s="21" t="str">
        <x:v>模块</x:v>
      </x:c>
      <x:c r="B5" s="21" t="str">
        <x:v>来源键</x:v>
      </x:c>
      <x:c r="C5" s="21" t="str">
        <x:v>来源名称</x:v>
      </x:c>
      <x:c r="D5" s="21" t="str">
        <x:v>来源类型</x:v>
      </x:c>
      <x:c r="E5" s="21" t="str">
        <x:v>URL</x:v>
      </x:c>
      <x:c r="F5" s="21" t="str">
        <x:v>发布日</x:v>
      </x:c>
      <x:c r="G5" s="21" t="str">
        <x:v>采集日</x:v>
      </x:c>
      <x:c r="H5" s="21" t="str">
        <x:v>证据</x:v>
      </x:c>
      <x:c r="I5" s="21" t="str">
        <x:v>覆盖范围</x:v>
      </x:c>
      <x:c r="J5" s="21" t="str">
        <x:v>原始文件</x:v>
      </x:c>
      <x:c r="K5" s="21" t="str">
        <x:v>备注</x:v>
      </x:c>
      <x:c r="L5" s="21" t="str">
        <x:v>派生指标</x:v>
      </x:c>
    </x:row>
    <x:row r="6" ht="72" customHeight="1">
      <x:c r="A6" s="75" t="str">
        <x:v>payroll</x:v>
      </x:c>
      <x:c r="B6" s="75" t="str">
        <x:v>evi_social_base</x:v>
      </x:c>
      <x:c r="C6" s="75" t="str">
        <x:v>上海市人力资源和社会保障局：2026年度社保缴费基数</x:v>
      </x:c>
      <x:c r="D6" s="75" t="str">
        <x:v>government</x:v>
      </x:c>
      <x:c r="E6" s="75" t="str">
        <x:v>https://rsj.sh.gov.cn/tgsgg_17341/20260818/t0035_1443203.html</x:v>
      </x:c>
      <x:c r="F6" s="76" t="d">
        <x:v>2026-08-18T00:00:00.000Z</x:v>
      </x:c>
      <x:c r="G6" s="76" t="d">
        <x:v>2026-10-26T00:00:00.000Z</x:v>
      </x:c>
      <x:c r="H6" s="75" t="str">
        <x:v>A</x:v>
      </x:c>
      <x:c r="I6" s="75" t="str">
        <x:v>上海；2026-07-01起；月缴费基数下限7546元、上限37731元</x:v>
      </x:c>
      <x:c r="J6" s="75" t="str">
        <x:v>sources/raw/official/social_base_2026.html</x:v>
      </x:c>
      <x:c r="K6" s="75" t="str">
        <x:v>2025年度全口径城镇单位就业人员平均工资12577元/月。</x:v>
      </x:c>
      <x:c r="L6" s="75" t="str"/>
    </x:row>
    <x:row r="7" ht="72" customHeight="1">
      <x:c r="A7" s="78" t="str">
        <x:v>payroll</x:v>
      </x:c>
      <x:c r="B7" s="78" t="str">
        <x:v>evi_social_rates</x:v>
      </x:c>
      <x:c r="C7" s="78" t="str">
        <x:v>上海市人力资源和社会保障局：员工个人社保缴费比例</x:v>
      </x:c>
      <x:c r="D7" s="78" t="str">
        <x:v>government</x:v>
      </x:c>
      <x:c r="E7" s="78" t="str">
        <x:v>https://rsj.sh.gov.cn/tmsztc_17502/20240416/t0035_1423583.html</x:v>
      </x:c>
      <x:c r="F7" s="79" t="d">
        <x:v>2024-04-16T00:00:00.000Z</x:v>
      </x:c>
      <x:c r="G7" s="79" t="d">
        <x:v>2026-10-26T00:00:00.000Z</x:v>
      </x:c>
      <x:c r="H7" s="78" t="str">
        <x:v>A</x:v>
      </x:c>
      <x:c r="I7" s="78" t="str">
        <x:v>上海；个人养老8%、医疗2%、失业0.5%，合计10.5%</x:v>
      </x:c>
      <x:c r="J7" s="78" t="str">
        <x:v>sources/raw/official/social_employee_20240416.html</x:v>
      </x:c>
      <x:c r="K7" s="78" t="str">
        <x:v>模型按目标月固定税前工资与2026基数上下限取缴费基数。</x:v>
      </x:c>
      <x:c r="L7" s="78" t="str"/>
    </x:row>
    <x:row r="8" ht="72" customHeight="1">
      <x:c r="A8" s="75" t="str">
        <x:v>payroll</x:v>
      </x:c>
      <x:c r="B8" s="75" t="str">
        <x:v>evi_fund_2026</x:v>
      </x:c>
      <x:c r="C8" s="75" t="str">
        <x:v>上海市公积金管理中心：2026年度缴存基数与比例</x:v>
      </x:c>
      <x:c r="D8" s="75" t="str">
        <x:v>government</x:v>
      </x:c>
      <x:c r="E8" s="75" t="str">
        <x:v>https://www.shzfgjj.cn/html/twzl/228488.html</x:v>
      </x:c>
      <x:c r="F8" s="76" t="d">
        <x:v>2026-08-19T00:00:00.000Z</x:v>
      </x:c>
      <x:c r="G8" s="76" t="d">
        <x:v>2026-10-26T00:00:00.000Z</x:v>
      </x:c>
      <x:c r="H8" s="75" t="str">
        <x:v>A</x:v>
      </x:c>
      <x:c r="I8" s="75" t="str">
        <x:v>上海；2026-07至2027-06；单位和个人主公积金各5%-7%</x:v>
      </x:c>
      <x:c r="J8" s="75" t="str">
        <x:v>sources/raw/official/housingfund_notice_2026.html</x:v>
      </x:c>
      <x:c r="K8" s="75" t="str">
        <x:v>主情景7%，5%用于敏感性；补充公积金未计入主情景。</x:v>
      </x:c>
      <x:c r="L8" s="75" t="str"/>
    </x:row>
    <x:row r="9" ht="72" customHeight="1">
      <x:c r="A9" s="78" t="str">
        <x:v>tax</x:v>
      </x:c>
      <x:c r="B9" s="78" t="str">
        <x:v>evi_tax_rent</x:v>
      </x:c>
      <x:c r="C9" s="78" t="str">
        <x:v>国家税务总局上海市税务局：住房租金专项附加扣除</x:v>
      </x:c>
      <x:c r="D9" s="78" t="str">
        <x:v>government</x:v>
      </x:c>
      <x:c r="E9" s="78" t="str">
        <x:v>https://shanghai.chinatax.gov.cn/zcfw/rdwd/202603/t479656.html</x:v>
      </x:c>
      <x:c r="F9" s="79" t="d">
        <x:v>2026-03-10T00:00:00.000Z</x:v>
      </x:c>
      <x:c r="G9" s="79" t="d">
        <x:v>2026-10-26T00:00:00.000Z</x:v>
      </x:c>
      <x:c r="H9" s="78" t="str">
        <x:v>A</x:v>
      </x:c>
      <x:c r="I9" s="78" t="str">
        <x:v>上海符合条件住房租金专项附加扣除1500元/月</x:v>
      </x:c>
      <x:c r="J9" s="78" t="str">
        <x:v>sources/raw/official/tax_rent_faq_2026.html</x:v>
      </x:c>
      <x:c r="K9" s="78" t="str">
        <x:v>要求本人及配偶在主要工作城市无自有住房并实际发生租金；模型假定合格。</x:v>
      </x:c>
      <x:c r="L9" s="78" t="str"/>
    </x:row>
    <x:row r="10" ht="72" customHeight="1">
      <x:c r="A10" s="75" t="str">
        <x:v>tax</x:v>
      </x:c>
      <x:c r="B10" s="75" t="str">
        <x:v>evi_tax_rates</x:v>
      </x:c>
      <x:c r="C10" s="75" t="str">
        <x:v>中国居民综合所得年度税率表</x:v>
      </x:c>
      <x:c r="D10" s="75" t="str">
        <x:v>government</x:v>
      </x:c>
      <x:c r="E10" s="75" t="str">
        <x:v>https://www.chinatax.gov.cn/chinatax/n810341/n810755/c5132044/content.html</x:v>
      </x:c>
      <x:c r="F10" s="76" t="d">
        <x:v>2018-12-27T00:00:00.000Z</x:v>
      </x:c>
      <x:c r="G10" s="76" t="d">
        <x:v>2026-10-26T00:00:00.000Z</x:v>
      </x:c>
      <x:c r="H10" s="75" t="str">
        <x:v>A</x:v>
      </x:c>
      <x:c r="I10" s="75" t="str">
        <x:v>居民综合所得；年基本减除费用60000元及七级超额累进税率</x:v>
      </x:c>
      <x:c r="J10" s="75" t="str">
        <x:v>sources/raw/official/tax_rate_table.html</x:v>
      </x:c>
      <x:c r="K10" s="75" t="str">
        <x:v>年度税额=应纳税所得额×税率-速算扣除数；本报告按年度综合所得近似。</x:v>
      </x:c>
      <x:c r="L10" s="75" t="str"/>
    </x:row>
    <x:row r="11" ht="72" customHeight="1">
      <x:c r="A11" s="78" t="str">
        <x:v>living</x:v>
      </x:c>
      <x:c r="B11" s="78" t="str">
        <x:v>evi_price_guide</x:v>
      </x:c>
      <x:c r="C11" s="78" t="str">
        <x:v>2026年上海市市民价格信息指南（上观新闻转载页及扫描页）</x:v>
      </x:c>
      <x:c r="D11" s="78" t="str">
        <x:v>official_republished_scan</x:v>
      </x:c>
      <x:c r="E11" s="78" t="str">
        <x:v>https://www.shobserver.cn/sgh/detail?id=1695525</x:v>
      </x:c>
      <x:c r="F11" s="79" t="d">
        <x:v>2026-01-14T00:00:00.000Z</x:v>
      </x:c>
      <x:c r="G11" s="79" t="d">
        <x:v>2026-10-26T00:00:00.000Z</x:v>
      </x:c>
      <x:c r="H11" s="78" t="str">
        <x:v>A</x:v>
      </x:c>
      <x:c r="I11" s="78" t="str">
        <x:v>上海居民水、电、燃气和公共交通价格</x:v>
      </x:c>
      <x:c r="J11" s="78" t="str">
        <x:v>sources/raw/official/price_guide_2026_shobserver/page_01.jpg</x:v>
      </x:c>
      <x:c r="K11" s="78" t="str">
        <x:v>价格规则A级；抓取的是官方内容媒体转载扫描页。</x:v>
      </x:c>
      <x:c r="L11" s="78" t="str"/>
    </x:row>
    <x:row r="12" ht="72" customHeight="1">
      <x:c r="A12" s="75" t="str">
        <x:v>official_salary</x:v>
      </x:c>
      <x:c r="B12" s="75" t="str">
        <x:v>evi_stats_2025</x:v>
      </x:c>
      <x:c r="C12" s="75" t="str">
        <x:v>上海市统计局：2025年居民人均可支配收入和消费支出</x:v>
      </x:c>
      <x:c r="D12" s="75" t="str">
        <x:v>government</x:v>
      </x:c>
      <x:c r="E12" s="75" t="str">
        <x:v>https://tjj.sh.gov.cn/ydsj71/20260120/39ae4cd58421478d897b739d83f39c10.html</x:v>
      </x:c>
      <x:c r="F12" s="76" t="d">
        <x:v>2026-01-20T00:00:00.000Z</x:v>
      </x:c>
      <x:c r="G12" s="76" t="d">
        <x:v>2026-10-26T00:00:00.000Z</x:v>
      </x:c>
      <x:c r="H12" s="75" t="str">
        <x:v>A</x:v>
      </x:c>
      <x:c r="I12" s="75" t="str">
        <x:v>上海2025年全体居民和城镇常住居民人均口径</x:v>
      </x:c>
      <x:c r="J12" s="75" t="str">
        <x:v>sources/raw/official/stats_income_expense_2025.html</x:v>
      </x:c>
      <x:c r="K12" s="75" t="str">
        <x:v>只作外部背景，不能替代电气本科应届生招聘工资或单身青年生活成本。</x:v>
      </x:c>
      <x:c r="L12" s="75" t="str"/>
    </x:row>
    <x:row r="13" ht="72" customHeight="1">
      <x:c r="A13" s="78" t="str">
        <x:v>rent</x:v>
      </x:c>
      <x:c r="B13" s="78" t="str">
        <x:v>evi_anjuke_rent</x:v>
      </x:c>
      <x:c r="C13" s="78" t="str">
        <x:v>安居客临港新城租房价格页</x:v>
      </x:c>
      <x:c r="D13" s="78" t="str">
        <x:v>marketplace_asking_rent</x:v>
      </x:c>
      <x:c r="E13" s="78" t="str">
        <x:v>https://m.anjuke.com/sh/rent/</x:v>
      </x:c>
      <x:c r="F13" s="79" t="d">
        <x:v>2026-10-26T00:00:00.000Z</x:v>
      </x:c>
      <x:c r="G13" s="79" t="d">
        <x:v>2026-10-26T00:00:00.000Z</x:v>
      </x:c>
      <x:c r="H13" s="78" t="str">
        <x:v>C</x:v>
      </x:c>
      <x:c r="I13" s="78" t="str">
        <x:v>临港新城；页面显示一室今日均价2200元/月及少量示例房源</x:v>
      </x:c>
      <x:c r="J13" s="78" t="str">
        <x:v>sources/raw/anjuke_mobile_lingang_rent_20261026.html</x:v>
      </x:c>
      <x:c r="K13" s="78" t="str">
        <x:v>挂牌/平台展示价，不是成交价；样本量、面积和发布日期不透明，只作观察。</x:v>
      </x:c>
      <x:c r="L13" s="78" t="str"/>
    </x:row>
    <x:row r="14" ht="72" customHeight="1">
      <x:c r="A14" s="75" t="str">
        <x:v>rent</x:v>
      </x:c>
      <x:c r="B14" s="75" t="str">
        <x:v>evi_ke_listing</x:v>
      </x:c>
      <x:c r="C14" s="75" t="str">
        <x:v>贝壳租房挂牌：绿地东岸涟城</x:v>
      </x:c>
      <x:c r="D14" s="75" t="str">
        <x:v>marketplace_listing</x:v>
      </x:c>
      <x:c r="E14" s="75" t="str">
        <x:v>https://m.ke.com/chuzu/sh/zufang/SH1661736411599994880.html</x:v>
      </x:c>
      <x:c r="F14" s="76" t="d">
        <x:v>2025-09-01T00:00:00.000Z</x:v>
      </x:c>
      <x:c r="G14" s="76" t="d">
        <x:v>2026-10-26T00:00:00.000Z</x:v>
      </x:c>
      <x:c r="H14" s="75" t="str">
        <x:v>C</x:v>
      </x:c>
      <x:c r="I14" s="75" t="str">
        <x:v>临港；2室1厅84㎡；2300元/月</x:v>
      </x:c>
      <x:c r="J14" s="75" t="str"/>
      <x:c r="K14" s="75" t="str">
        <x:v>单条历史挂牌，不代表当前可租或成交价。</x:v>
      </x:c>
      <x:c r="L14" s="75" t="str"/>
    </x:row>
    <x:row r="15" ht="72" customHeight="1">
      <x:c r="A15" s="78" t="str">
        <x:v>rent</x:v>
      </x:c>
      <x:c r="B15" s="78" t="str">
        <x:v>evi_fang_listing</x:v>
      </x:c>
      <x:c r="C15" s="78" t="str">
        <x:v>房天下挂牌：宜浩佳园</x:v>
      </x:c>
      <x:c r="D15" s="78" t="str">
        <x:v>marketplace_listing</x:v>
      </x:c>
      <x:c r="E15" s="78" t="str">
        <x:v>https://zu.fang.com/sh/chuzu/8_1016019970_1.htm</x:v>
      </x:c>
      <x:c r="F15" s="79" t="d">
        <x:v>2025-07-10T00:00:00.000Z</x:v>
      </x:c>
      <x:c r="G15" s="79" t="d">
        <x:v>2026-10-26T00:00:00.000Z</x:v>
      </x:c>
      <x:c r="H15" s="78" t="str">
        <x:v>C</x:v>
      </x:c>
      <x:c r="I15" s="78" t="str">
        <x:v>临港；1室2厅77㎡；2000元/月</x:v>
      </x:c>
      <x:c r="J15" s="78" t="str"/>
      <x:c r="K15" s="78" t="str">
        <x:v>单条历史挂牌；户型面积较特殊，不能直接视为标准一居。</x:v>
      </x:c>
      <x:c r="L15" s="78" t="str"/>
    </x:row>
    <x:row r="16" ht="72" customHeight="1">
      <x:c r="A16" s="75" t="str">
        <x:v>rent</x:v>
      </x:c>
      <x:c r="B16" s="75" t="str">
        <x:v>evi_58_share_listing</x:v>
      </x:c>
      <x:c r="C16" s="75" t="str">
        <x:v>58同城合租挂牌：保利蔚蓝林语</x:v>
      </x:c>
      <x:c r="D16" s="75" t="str">
        <x:v>marketplace_listing</x:v>
      </x:c>
      <x:c r="E16" s="75" t="str">
        <x:v>https://sh.58.com/hezu/4088587099561999x.shtml</x:v>
      </x:c>
      <x:c r="F16" s="76" t="d">
        <x:v>2025-06-03T00:00:00.000Z</x:v>
      </x:c>
      <x:c r="G16" s="76" t="d">
        <x:v>2026-10-26T00:00:00.000Z</x:v>
      </x:c>
      <x:c r="H16" s="75" t="str">
        <x:v>C</x:v>
      </x:c>
      <x:c r="I16" s="75" t="str">
        <x:v>临港；合租单间、独立卫浴；1100元/月</x:v>
      </x:c>
      <x:c r="J16" s="75" t="str">
        <x:v>sources/raw/58_lingang_20261026.html</x:v>
      </x:c>
      <x:c r="K16" s="75" t="str">
        <x:v>单条历史挂牌；水电、服务费和实际室友人数未完整核实。</x:v>
      </x:c>
      <x:c r="L16" s="75" t="str"/>
    </x:row>
    <x:row r="17" ht="72" customHeight="1">
      <x:c r="A17" s="78" t="str">
        <x:v>rent</x:v>
      </x:c>
      <x:c r="B17" s="78" t="str">
        <x:v>evi_talent_apartment</x:v>
      </x:c>
      <x:c r="C17" s="78" t="str">
        <x:v>临港新片区国际人才港：主城区人才公寓</x:v>
      </x:c>
      <x:c r="D17" s="78" t="str">
        <x:v>government</x:v>
      </x:c>
      <x:c r="E17" s="78" t="str">
        <x:v>https://www.lingang.gov.cn/html/website/lg/rc/hotspot/redianxinwen/p1781237685213462530.html</x:v>
      </x:c>
      <x:c r="F17" s="79" t="d">
        <x:v>2024-04-12T00:00:00.000Z</x:v>
      </x:c>
      <x:c r="G17" s="79" t="d">
        <x:v>2026-10-26T00:00:00.000Z</x:v>
      </x:c>
      <x:c r="H17" s="78" t="str">
        <x:v>A</x:v>
      </x:c>
      <x:c r="I17" s="78" t="str">
        <x:v>主城区人才公寓；一居31.27-53.25㎡约1000-1800元/月</x:v>
      </x:c>
      <x:c r="J17" s="78" t="str">
        <x:v>sources/raw/official/lingang_talent_apartment.html</x:v>
      </x:c>
      <x:c r="K17" s="78" t="str">
        <x:v>租金标准A级；需单位清单、户籍/居住证积分、本科、无房等条件，个人适用需审核。</x:v>
      </x:c>
      <x:c r="L17" s="78" t="str"/>
    </x:row>
    <x:row r="18" ht="72" customHeight="1">
      <x:c r="A18" s="75" t="str">
        <x:v>policy</x:v>
      </x:c>
      <x:c r="B18" s="75" t="str">
        <x:v>evi_youth_housing</x:v>
      </x:c>
      <x:c r="C18" s="75" t="str">
        <x:v>临港新片区国际人才港：新就业青年安居支持政策</x:v>
      </x:c>
      <x:c r="D18" s="75" t="str">
        <x:v>government</x:v>
      </x:c>
      <x:c r="E18" s="75" t="str">
        <x:v>https://www.lingang.gov.cn/html/website/lg/rc/hotspot/redianxinwen/2096770314522361858.html</x:v>
      </x:c>
      <x:c r="F18" s="76" t="d">
        <x:v>2026-08-29T00:00:00.000Z</x:v>
      </x:c>
      <x:c r="G18" s="76" t="d">
        <x:v>2026-10-26T00:00:00.000Z</x:v>
      </x:c>
      <x:c r="H18" s="75" t="str">
        <x:v>A</x:v>
      </x:c>
      <x:c r="I18" s="75" t="str">
        <x:v>高水平大学毕业生；第一年补贴房租60%、最高1500元/月，第二年退坡</x:v>
      </x:c>
      <x:c r="J18" s="75" t="str">
        <x:v>sources/raw/official/lingang_youth_housing_2026.html</x:v>
      </x:c>
      <x:c r="K18" s="75" t="str">
        <x:v>不进入普通本科主情景；仅双一流或世界前500等高水平大学条件情景。</x:v>
      </x:c>
      <x:c r="L18" s="75" t="str"/>
    </x:row>
    <x:row r="19" ht="72" customHeight="1">
      <x:c r="A19" s="78" t="str">
        <x:v>jobs</x:v>
      </x:c>
      <x:c r="B19" s="78" t="str">
        <x:v>evi_smic_supply</x:v>
      </x:c>
      <x:c r="C19" s="78" t="str">
        <x:v>智联招聘校园页：中芯国际临港2027岗位</x:v>
      </x:c>
      <x:c r="D19" s="78" t="str">
        <x:v>recruitment_platform</x:v>
      </x:c>
      <x:c r="E19" s="78" t="str">
        <x:v>https://www.zhaopin.com/zhaopin/77d11caf785b4ee185513c53ec47b291/</x:v>
      </x:c>
      <x:c r="F19" s="79" t="d">
        <x:v>2026-09-14T00:00:00.000Z</x:v>
      </x:c>
      <x:c r="G19" s="79" t="d">
        <x:v>2026-10-26T00:00:00.000Z</x:v>
      </x:c>
      <x:c r="H19" s="78" t="str">
        <x:v>C</x:v>
      </x:c>
      <x:c r="I19" s="78" t="str">
        <x:v>中芯国际设备、封装设备、自动化算法、封装生产运筹等2027岗位</x:v>
      </x:c>
      <x:c r="J19" s="78" t="str">
        <x:v>sources/raw/official/smic_2027_campus_search.html</x:v>
      </x:c>
      <x:c r="K19" s="78" t="str">
        <x:v>岗位存在性和学历/面议状态可核验；页面地址只显示上海，标题注明临港。</x:v>
      </x:c>
      <x:c r="L19" s="78" t="str"/>
    </x:row>
    <x:row r="20" ht="72" customHeight="1">
      <x:c r="A20" s="75" t="str">
        <x:v>jobs</x:v>
      </x:c>
      <x:c r="B20" s="75" t="str">
        <x:v>evi_smic_packaging</x:v>
      </x:c>
      <x:c r="C20" s="75" t="str">
        <x:v>智联招聘：中芯国际封装生产运筹工程师-临港（2027届）</x:v>
      </x:c>
      <x:c r="D20" s="75" t="str">
        <x:v>recruitment_listing</x:v>
      </x:c>
      <x:c r="E20" s="75" t="str">
        <x:v>https://m.zhaopin.com/jobs/CC000439650J40870065707.htm</x:v>
      </x:c>
      <x:c r="F20" s="76" t="str">
        <x:v>2026</x:v>
      </x:c>
      <x:c r="G20" s="76" t="d">
        <x:v>2026-10-26T00:00:00.000Z</x:v>
      </x:c>
      <x:c r="H20" s="75" t="str">
        <x:v>C</x:v>
      </x:c>
      <x:c r="I20" s="75" t="str">
        <x:v>临港；本科/硕士；电气、自动化等可投；30人；面议；轮班</x:v>
      </x:c>
      <x:c r="J20" s="75" t="str">
        <x:v>sources/raw/official/smic_packaging_2027.html</x:v>
      </x:c>
      <x:c r="K20" s="75" t="str">
        <x:v>明确轮班/洁净室，不符合双休硬条件；不得用于薪资中位数。</x:v>
      </x:c>
      <x:c r="L20" s="75" t="str"/>
    </x:row>
    <x:row r="21" ht="72" customHeight="1">
      <x:c r="A21" s="78" t="str">
        <x:v>jobs</x:v>
      </x:c>
      <x:c r="B21" s="78" t="str">
        <x:v>evi_gta_2027</x:v>
      </x:c>
      <x:c r="C21" s="78" t="str">
        <x:v>上海积塔半导体：2027届校园招聘</x:v>
      </x:c>
      <x:c r="D21" s="78" t="str">
        <x:v>company_career</x:v>
      </x:c>
      <x:c r="E21" s="78" t="str">
        <x:v>https://www.gtasemi.com.cn/careers/campus-recruitment_2</x:v>
      </x:c>
      <x:c r="F21" s="79" t="str">
        <x:v>2026</x:v>
      </x:c>
      <x:c r="G21" s="79" t="d">
        <x:v>2026-10-26T00:00:00.000Z</x:v>
      </x:c>
      <x:c r="H21" s="78" t="str">
        <x:v>A</x:v>
      </x:c>
      <x:c r="I21" s="78" t="str">
        <x:v>设备工程师；本科；机械、自动化、电气工程相关专业；上海自贸区厂区；未列薪资</x:v>
      </x:c>
      <x:c r="J21" s="78" t="str">
        <x:v>sources/raw/official/gta_2027_campus_official_page2.html</x:v>
      </x:c>
      <x:c r="K21" s="78" t="str">
        <x:v>云水路600号位于泥城镇，属临港新片区更广范围，未证明位于滴水湖核心区；主表不并入核心区供给。</x:v>
      </x:c>
      <x:c r="L21" s="78" t="str"/>
    </x:row>
    <x:row r="22" ht="72" customHeight="1">
      <x:c r="A22" s="75" t="str">
        <x:v>jobs</x:v>
      </x:c>
      <x:c r="B22" s="75" t="str">
        <x:v>evi_aiwill_2027</x:v>
      </x:c>
      <x:c r="C22" s="75" t="str">
        <x:v>应届生求职网转载前程无忧：艾为设备工程师-临港-2027届</x:v>
      </x:c>
      <x:c r="D22" s="75" t="str">
        <x:v>campus_job_repost</x:v>
      </x:c>
      <x:c r="E22" s="75" t="str">
        <x:v>https://m.yingjiesheng.com/job-008-033-479.html</x:v>
      </x:c>
      <x:c r="F22" s="76" t="d">
        <x:v>2026-08-20T00:00:00.000Z</x:v>
      </x:c>
      <x:c r="G22" s="76" t="d">
        <x:v>2026-10-26T00:00:00.000Z</x:v>
      </x:c>
      <x:c r="H22" s="75" t="str">
        <x:v>C</x:v>
      </x:c>
      <x:c r="I22" s="75" t="str">
        <x:v>本科及以上；电子工程相关；临港；设备维修、调试与测试平台异常处理；未列薪资</x:v>
      </x:c>
      <x:c r="J22" s="75" t="str">
        <x:v>sources/raw/official/aiwill_equipment_2027_yingjiesheng_mobile.html</x:v>
      </x:c>
      <x:c r="K22" s="75" t="str">
        <x:v>未写双休、出差和住宿；电气工程专业能否投递需HR确认。</x:v>
      </x:c>
      <x:c r="L22" s="75" t="str"/>
    </x:row>
    <x:row r="23" ht="72" customHeight="1">
      <x:c r="A23" s="78" t="str">
        <x:v>jobs</x:v>
      </x:c>
      <x:c r="B23" s="78" t="str">
        <x:v>evi_yanfeng_2027</x:v>
      </x:c>
      <x:c r="C23" s="78" t="str">
        <x:v>应届生求职网转载前程无忧：延锋彼欧2027工程设备</x:v>
      </x:c>
      <x:c r="D23" s="78" t="str">
        <x:v>campus_job_repost</x:v>
      </x:c>
      <x:c r="E23" s="78" t="str">
        <x:v>https://m.yingjiesheng.com/job-008-084-813.html</x:v>
      </x:c>
      <x:c r="F23" s="79" t="d">
        <x:v>2026-09-18T00:00:00.000Z</x:v>
      </x:c>
      <x:c r="G23" s="79" t="d">
        <x:v>2026-10-26T00:00:00.000Z</x:v>
      </x:c>
      <x:c r="H23" s="78" t="str">
        <x:v>C</x:v>
      </x:c>
      <x:c r="I23" s="78" t="str">
        <x:v>临港公司；2027本科及以上；机械、电气自动化等优先；设备安装与改造</x:v>
      </x:c>
      <x:c r="J23" s="78" t="str">
        <x:v>sources/raw/official/yanfeng_equipment_2027_yingjiesheng.html</x:v>
      </x:c>
      <x:c r="K23" s="78" t="str">
        <x:v>未列薪资；未明确双休、出差和住宿。</x:v>
      </x:c>
      <x:c r="L23" s="78" t="str"/>
    </x:row>
    <x:row r="24" ht="72" customHeight="1">
      <x:c r="A24" s="75" t="str">
        <x:v>jobs</x:v>
      </x:c>
      <x:c r="B24" s="75" t="str">
        <x:v>evi_amec_campus</x:v>
      </x:c>
      <x:c r="C24" s="75" t="str">
        <x:v>南开大学就业网：中微公司2027登峰计划</x:v>
      </x:c>
      <x:c r="D24" s="75" t="str">
        <x:v>university_career</x:v>
      </x:c>
      <x:c r="E24" s="75" t="str">
        <x:v>https://career.nankai.edu.cn/correcruit/content/id/116861.html</x:v>
      </x:c>
      <x:c r="F24" s="76" t="d">
        <x:v>2026-08-20T00:00:00.000Z</x:v>
      </x:c>
      <x:c r="G24" s="76" t="d">
        <x:v>2026-10-26T00:00:00.000Z</x:v>
      </x:c>
      <x:c r="H24" s="75" t="str">
        <x:v>C</x:v>
      </x:c>
      <x:c r="I24" s="75" t="str">
        <x:v>2027本科/硕/博，400人；设备研发、公共工程研发、售后服务等；地点含上海</x:v>
      </x:c>
      <x:c r="J24" s="75" t="str">
        <x:v>sources/raw/official/amec_2027_nankai.html</x:v>
      </x:c>
      <x:c r="K24" s="75" t="str">
        <x:v>页面层级显示20000元以上，但不是岗位级薪资，不能当作本科应届起薪。</x:v>
      </x:c>
      <x:c r="L24" s="75" t="str"/>
    </x:row>
    <x:row r="25" ht="72" customHeight="1">
      <x:c r="A25" s="78" t="str">
        <x:v>jobs</x:v>
      </x:c>
      <x:c r="B25" s="78" t="str">
        <x:v>evi_market_signals</x:v>
      </x:c>
      <x:c r="C25" s="78" t="str">
        <x:v>智联招聘临港相关岗位原始搜索页</x:v>
      </x:c>
      <x:c r="D25" s="78" t="str">
        <x:v>recruitment_platform</x:v>
      </x:c>
      <x:c r="E25" s="78" t="str">
        <x:v>https://sou.zhaopin.com/?jl=538&amp;kw=临港%20电气</x:v>
      </x:c>
      <x:c r="F25" s="79" t="d">
        <x:v>2026-10-26T00:00:00.000Z</x:v>
      </x:c>
      <x:c r="G25" s="79" t="d">
        <x:v>2026-10-26T00:00:00.000Z</x:v>
      </x:c>
      <x:c r="H25" s="78" t="str">
        <x:v>C</x:v>
      </x:c>
      <x:c r="I25" s="78" t="str">
        <x:v>40个关键词、1页/词；129张卡片、86个去重职位；仅作市场信号</x:v>
      </x:c>
      <x:c r="J25" s="78" t="str">
        <x:v>sources/raw/zhaopin_candidates/normalized_jobs.csv</x:v>
      </x:c>
      <x:c r="K25" s="78" t="str">
        <x:v>含经验岗、外地岗、非目标岗；搜索返回数不等于有效应届样本。</x:v>
      </x:c>
      <x:c r="L25" s="78" t="str"/>
    </x:row>
    <x:row r="26" ht="72" customHeight="1">
      <x:c r="A26" s="75" t="str">
        <x:v>living</x:v>
      </x:c>
      <x:c r="B26" s="75" t="str">
        <x:v>evi_food_basket</x:v>
      </x:c>
      <x:c r="C26" s="75" t="str">
        <x:v>临港快餐平台页与透明餐饮篮子假设</x:v>
      </x:c>
      <x:c r="D26" s="75" t="str">
        <x:v>marketplace_plus_model</x:v>
      </x:c>
      <x:c r="E26" s="75" t="str">
        <x:v>https://sh.58.com/lingangxinc/kuaican/list_25/</x:v>
      </x:c>
      <x:c r="F26" s="76" t="d">
        <x:v>2026-10-26T00:00:00.000Z</x:v>
      </x:c>
      <x:c r="G26" s="76" t="d">
        <x:v>2026-10-26T00:00:00.000Z</x:v>
      </x:c>
      <x:c r="H26" s="75" t="str">
        <x:v>C</x:v>
      </x:c>
      <x:c r="I26" s="75" t="str">
        <x:v>外卖单餐全包价格约22-44元；月度餐饮三档为1380/2100/2800元模型篮子</x:v>
      </x:c>
      <x:c r="J26" s="75" t="str">
        <x:v>sources/raw/search_snippets_food_lingang_2026-10-26.csv</x:v>
      </x:c>
      <x:c r="K26" s="75" t="str">
        <x:v>未取得连续30天可复核菜单；优惠券不假定长期可用，餐饮是模型估算。</x:v>
      </x:c>
      <x:c r="L26" s="75" t="str"/>
    </x:row>
    <x:row r="27" ht="72" customHeight="1">
      <x:c r="A27" s="78" t="str">
        <x:v>living</x:v>
      </x:c>
      <x:c r="B27" s="78" t="str">
        <x:v>evi_internet_model</x:v>
      </x:c>
      <x:c r="C27" s="78" t="str">
        <x:v>上海宽带与家庭网络费用假设</x:v>
      </x:c>
      <x:c r="D27" s="78" t="str">
        <x:v>model_assumption</x:v>
      </x:c>
      <x:c r="E27" s="78" t="str">
        <x:v>https://www.189.cn/sh/</x:v>
      </x:c>
      <x:c r="F27" s="79" t="str">
        <x:v>2026</x:v>
      </x:c>
      <x:c r="G27" s="79" t="d">
        <x:v>2026-10-26T00:00:00.000Z</x:v>
      </x:c>
      <x:c r="H27" s="78" t="str">
        <x:v>C</x:v>
      </x:c>
      <x:c r="I27" s="78" t="str">
        <x:v>宽带/移动网络100元/月；合租按每人50元</x:v>
      </x:c>
      <x:c r="J27" s="78" t="str"/>
      <x:c r="K27" s="78" t="str">
        <x:v>未捕获同周期套餐合同价；仅作保守模型参数，签约前应复核。</x:v>
      </x:c>
      <x:c r="L27" s="78" t="str"/>
    </x:row>
    <x:row r="28" ht="72" customHeight="1">
      <x:c r="A28" s="75" t="str">
        <x:v>rent</x:v>
      </x:c>
      <x:c r="B28" s="75" t="str">
        <x:v>evi_agency_fee</x:v>
      </x:c>
      <x:c r="C28" s="75" t="str">
        <x:v>上海租房中介费与押付公开信息汇总</x:v>
      </x:c>
      <x:c r="D28" s="75" t="str">
        <x:v>search_result_secondary</x:v>
      </x:c>
      <x:c r="E28" s="75" t="str">
        <x:v>https://www.so.com/s?q=上海+租房+中介费+35%25</x:v>
      </x:c>
      <x:c r="F28" s="76" t="d">
        <x:v>2026-10-26T00:00:00.000Z</x:v>
      </x:c>
      <x:c r="G28" s="76" t="d">
        <x:v>2026-10-26T00:00:00.000Z</x:v>
      </x:c>
      <x:c r="H28" s="75" t="str">
        <x:v>C</x:v>
      </x:c>
      <x:c r="I28" s="75" t="str">
        <x:v>模型采用租客承担0.35个月中介费作为协商/常见情景；直租为0</x:v>
      </x:c>
      <x:c r="J28" s="75" t="str">
        <x:v>sources/raw/search_snippets_agency_fee_2026-10-26.csv</x:v>
      </x:c>
      <x:c r="K28" s="75" t="str">
        <x:v>中介费并非统一费率；必须按具体合同核验，房东承担时应为0。</x:v>
      </x:c>
      <x:c r="L28" s="75" t="str"/>
    </x:row>
    <x:row r="29" ht="72" customHeight="1">
      <x:c r="A29" s="78" t="str">
        <x:v>jobs</x:v>
      </x:c>
      <x:c r="B29" s="78" t="str">
        <x:v>evi_boss_attempt</x:v>
      </x:c>
      <x:c r="C29" s="78" t="str">
        <x:v>BOSS直聘专用浏览器烟测失败记录</x:v>
      </x:c>
      <x:c r="D29" s="78" t="str">
        <x:v>collection_limit</x:v>
      </x:c>
      <x:c r="E29" s="78" t="str">
        <x:v>https://www.zhipin.com/</x:v>
      </x:c>
      <x:c r="F29" s="79" t="d">
        <x:v>2026-10-26T00:00:00.000Z</x:v>
      </x:c>
      <x:c r="G29" s="79" t="d">
        <x:v>2026-10-26T00:00:00.000Z</x:v>
      </x:c>
      <x:c r="H29" s="78" t="str">
        <x:v>D</x:v>
      </x:c>
      <x:c r="I29" s="78" t="str">
        <x:v>专用浏览器最终显示登录页，未取得可用登录态</x:v>
      </x:c>
      <x:c r="J29" s="78" t="str">
        <x:v>sources/raw/boss_smoke/search_page.html</x:v>
      </x:c>
      <x:c r="K29" s="78" t="str">
        <x:v>未绕过登录或验证码，也未导出Cookie、账号或密码。</x:v>
      </x:c>
      <x:c r="L29" s="78" t="str"/>
    </x:row>
    <x:row r="32" ht="84" customHeight="1">
      <x:c r="N32" s="29" t="str">
        <x:v>证据等级A为官方规则/统计，C为小样本或模型。链接可访问不代表内容永不改版；以本地原始文件和采集日为准。</x:v>
      </x:c>
    </x:row>
  </x:sheetData>
  <x:pageMargins left="0.7" right="0.7" top="0.75" bottom="0.75" header="0.3" footer="0.3"/>
</x:worksheet>
</file>